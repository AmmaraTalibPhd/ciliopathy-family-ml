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ble S2" sheetId="2" state="visible" r:id="rId2"/>
  </sheets>
  <definedNames>
    <definedName name="_xlnm._FilterDatabase" localSheetId="1" hidden="1">'Table S2'!$A$1:$P$452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sz val="13"/>
    </font>
    <font>
      <name val="Arial"/>
      <i val="1"/>
      <sz val="10"/>
    </font>
    <font>
      <name val="Arial"/>
      <sz val="10"/>
    </font>
    <font>
      <name val="Arial"/>
      <b val="1"/>
      <color rgb="001F4E78"/>
      <sz val="11"/>
    </font>
    <font>
      <name val="Arial"/>
      <b val="1"/>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horizontal="right"/>
    </xf>
    <xf numFmtId="0" fontId="1" fillId="2" borderId="0" applyAlignment="1" pivotButton="0" quotePrefix="0" xfId="0">
      <alignment horizontal="center"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s>
  <sheetData>
    <row r="1">
      <c r="A1" s="1" t="inlineStr">
        <is>
          <t>Supplementary Table S2. Record-level list of the 451 curated ciliopathy entries</t>
        </is>
      </c>
    </row>
    <row r="2" ht="30" customHeight="1">
      <c r="A2" s="2" t="inlineStr">
        <is>
          <t>Phenotype-driven machine learning classification of ciliopathy disease families using curated clinical and Human Phenotype Ontology features</t>
        </is>
      </c>
    </row>
    <row r="3" ht="60" customHeight="1">
      <c r="A3" s="3" t="inlineStr">
        <is>
          <t>Observational unit: each row is one disease entry. For OMIM phenotype entries (374 of the 391 records used for modelling) this is one genetic subtype of a disease family with one causal gene; the other records are Orphanet disorder entries and family-level records (see Source type). The same OMIM entry can appear under two families (see Note); related entries are listed with their identifiers so that they can be traced.</t>
        </is>
      </c>
    </row>
    <row r="4">
      <c r="A4" s="4" t="n"/>
    </row>
    <row r="5">
      <c r="A5" s="5" t="inlineStr">
        <is>
          <t>How the dataset was built</t>
        </is>
      </c>
    </row>
    <row r="6" ht="30" customHeight="1">
      <c r="A6" s="3" t="inlineStr">
        <is>
          <t>1. Names of ciliopathies and ciliopathy-related disorders reported in the literature were searched in OMIM (https://www.omim.org; accessed May 2025), and the OMIM phenotype entry (MIM number) of each disorder was recorded.</t>
        </is>
      </c>
    </row>
    <row r="7" ht="45" customHeight="1">
      <c r="A7" s="3" t="inlineStr">
        <is>
          <t>2. For each disorder, the related OMIM phenotype entries (for example, its numbered genetic subtypes) were retrieved, and each entry was assigned to the disease family under whose name it was found. An OMIM entry found under two disease names was recorded under both families (see the Note column).</t>
        </is>
      </c>
    </row>
    <row r="8" ht="60" customHeight="1">
      <c r="A8" s="3" t="inlineStr">
        <is>
          <t>3. For each entry, the mode of inheritance, the organ systems involved and the clinical features were taken from its OMIM Clinical Synopsis; the clinical features are recorded as the HPO terms that OMIM links to each Clinical Synopsis feature. Entries without a matching OMIM Clinical Synopsis were matched by name to Orphanet (https://www.orpha.net). Family-level records combine the annotations of several entries of the same disease.</t>
        </is>
      </c>
    </row>
    <row r="9" ht="45" customHeight="1">
      <c r="A9" s="3" t="inlineStr">
        <is>
          <t>4. Disease families with fewer than five entries were removed. HPO terms occurring in only one of the remaining 400 entries were not used as features; entries left without any HPO term, and exact duplicates within the same family, were then removed. The remaining entries were used for modelling.</t>
        </is>
      </c>
    </row>
    <row r="10">
      <c r="A10" s="4" t="n"/>
    </row>
    <row r="11">
      <c r="A11" s="5" t="inlineStr">
        <is>
          <t>Summary (calculated from the Table S2 sheet)</t>
        </is>
      </c>
    </row>
    <row r="12">
      <c r="A12" s="4" t="inlineStr">
        <is>
          <t>Curated entries</t>
        </is>
      </c>
      <c r="B12" s="6">
        <f>COUNTA('Table S2'!$A$2:$A$452)</f>
        <v/>
      </c>
    </row>
    <row r="13">
      <c r="A13" s="4" t="inlineStr">
        <is>
          <t>Disease families</t>
        </is>
      </c>
      <c r="B13" s="6">
        <f>SUMPRODUCT(1/COUNTIF('Table S2'!$B$2:$B$452,'Table S2'!$B$2:$B$452))</f>
        <v/>
      </c>
    </row>
    <row r="14">
      <c r="A14" s="4" t="inlineStr">
        <is>
          <t>Removed: disease family with fewer than five entries</t>
        </is>
      </c>
      <c r="B14" s="6">
        <f>COUNTIF('Table S2'!$O$2:$O$452,"Disease family with fewer than 5 entries")</f>
        <v/>
      </c>
    </row>
    <row r="15">
      <c r="A15" s="4" t="inlineStr">
        <is>
          <t>Entries after the family-size filter</t>
        </is>
      </c>
      <c r="B15" s="6">
        <f>B12-B14</f>
        <v/>
      </c>
    </row>
    <row r="16">
      <c r="A16" s="4" t="inlineStr">
        <is>
          <t>Removed: no HPO term (none in source, or none retained)</t>
        </is>
      </c>
      <c r="B16" s="6">
        <f>COUNTIF('Table S2'!$O$2:$O$452,"No HPO term*")</f>
        <v/>
      </c>
    </row>
    <row r="17">
      <c r="A17" s="4" t="inlineStr">
        <is>
          <t>Removed: exact duplicate within the same family</t>
        </is>
      </c>
      <c r="B17" s="6">
        <f>COUNTIF('Table S2'!$O$2:$O$452,"Exact duplicate*")</f>
        <v/>
      </c>
    </row>
    <row r="18">
      <c r="A18" s="4" t="inlineStr">
        <is>
          <t>Entries used for modelling</t>
        </is>
      </c>
      <c r="B18" s="6">
        <f>COUNTIF('Table S2'!$N$2:$N$452,"Yes")</f>
        <v/>
      </c>
    </row>
    <row r="19">
      <c r="A19" s="4" t="inlineStr">
        <is>
          <t>Disease families used for modelling</t>
        </is>
      </c>
      <c r="B19" s="6">
        <f>SUMPRODUCT(('Table S2'!$N$2:$N$452="Yes")/(COUNTIFS('Table S2'!$B$2:$B$452,'Table S2'!$B$2:$B$452,'Table S2'!$N$2:$N$452,"Yes")+('Table S2'!$N$2:$N$452&lt;&gt;"Yes")))</f>
        <v/>
      </c>
    </row>
    <row r="20">
      <c r="A20" s="4" t="inlineStr">
        <is>
          <t xml:space="preserve">  of which OMIM phenotype entries</t>
        </is>
      </c>
      <c r="B20" s="6">
        <f>COUNTIFS('Table S2'!$N$2:$N$452,"Yes",'Table S2'!$F$2:$F$452,"OMIM phenotype entry")</f>
        <v/>
      </c>
    </row>
    <row r="21">
      <c r="A21" s="4" t="inlineStr">
        <is>
          <t xml:space="preserve">  of which Orphanet entries</t>
        </is>
      </c>
      <c r="B21" s="6">
        <f>COUNTIFS('Table S2'!$N$2:$N$452,"Yes",'Table S2'!$F$2:$F$452,"Orphanet entry*")</f>
        <v/>
      </c>
    </row>
    <row r="22">
      <c r="A22" s="4" t="inlineStr">
        <is>
          <t xml:space="preserve">  of which family-level records</t>
        </is>
      </c>
      <c r="B22" s="6">
        <f>COUNTIFS('Table S2'!$N$2:$N$452,"Yes",'Table S2'!$F$2:$F$452,"Family-level record*")</f>
        <v/>
      </c>
    </row>
    <row r="23">
      <c r="A23" s="4" t="n"/>
    </row>
    <row r="24">
      <c r="A24" s="5" t="inlineStr">
        <is>
          <t>Columns</t>
        </is>
      </c>
    </row>
    <row r="25" ht="15" customHeight="1">
      <c r="A25" s="3" t="inlineStr">
        <is>
          <t>Record ID: identifier of the entry in the curated dataset.</t>
        </is>
      </c>
    </row>
    <row r="26" ht="15" customHeight="1">
      <c r="A26" s="3" t="inlineStr">
        <is>
          <t>Disease family: family label used as the classification target.</t>
        </is>
      </c>
    </row>
    <row r="27" ht="15" customHeight="1">
      <c r="A27" s="3" t="inlineStr">
        <is>
          <t>Subtype abbreviation: OMIM symbol of the subtype (for example JBTS11), where available.</t>
        </is>
      </c>
    </row>
    <row r="28" ht="15" customHeight="1">
      <c r="A28" s="3" t="inlineStr">
        <is>
          <t>OMIM phenotype MIM number: blank if the entry has no single OMIM phenotype entry.</t>
        </is>
      </c>
    </row>
    <row r="29" ht="15" customHeight="1">
      <c r="A29" s="3" t="inlineStr">
        <is>
          <t>Source identifiers: OMIM (OMIM:) and Orphanet (ORPHA:) identifiers from which the entry was built.</t>
        </is>
      </c>
    </row>
    <row r="30" ht="30" customHeight="1">
      <c r="A30" s="3" t="inlineStr">
        <is>
          <t>Source type: OMIM phenotype entry; Orphanet entry (matched by disease name); or family-level record combining several entries.</t>
        </is>
      </c>
    </row>
    <row r="31" ht="45" customHeight="1">
      <c r="A31" s="3" t="inlineStr">
        <is>
          <t>Ciliopathy class: class of the disease family in the CiliaMiner ciliopathy database (https://kaplanlab.shinyapps.io/ciliaminer/): Primary, primary ciliopathy; Motile, motile ciliopathy; Secondary, secondary disease (not used as a model feature).</t>
        </is>
      </c>
    </row>
    <row r="32" ht="15" customHeight="1">
      <c r="A32" s="3" t="inlineStr">
        <is>
          <t>Clinical group: descriptive label assigned during curation (not used as a model feature).</t>
        </is>
      </c>
    </row>
    <row r="33" ht="15" customHeight="1">
      <c r="A33" s="3" t="inlineStr">
        <is>
          <t>Associated genes: genes listed for the entry.</t>
        </is>
      </c>
    </row>
    <row r="34" ht="15" customHeight="1">
      <c r="A34" s="3" t="inlineStr">
        <is>
          <t>Inheritance (as curated): inheritance annotation; it was mapped to 11 binary indicators for modelling.</t>
        </is>
      </c>
    </row>
    <row r="35" ht="15" customHeight="1">
      <c r="A35" s="3" t="inlineStr">
        <is>
          <t>Organ systems involved: organ-system sections of the Clinical Synopsis with at least one feature (15 binary features).</t>
        </is>
      </c>
    </row>
    <row r="36" ht="15" customHeight="1">
      <c r="A36" s="3" t="inlineStr">
        <is>
          <t>Number of HPO terms and HPO term IDs: all HPO terms of the entry before frequency filtering.</t>
        </is>
      </c>
    </row>
    <row r="37" ht="15" customHeight="1">
      <c r="A37" s="3" t="inlineStr">
        <is>
          <t>Included in analysis, Reason for exclusion, Note: outcome of the curation steps above.</t>
        </is>
      </c>
    </row>
    <row r="38">
      <c r="A38" s="4" t="n"/>
    </row>
    <row r="39">
      <c r="A39" s="5" t="inlineStr">
        <is>
          <t>Use of OMIM content</t>
        </is>
      </c>
    </row>
    <row r="40" ht="45" customHeight="1">
      <c r="A40" s="3" t="inlineStr">
        <is>
          <t>The text of OMIM Clinical Synopses is not redistributed here, in accordance with the OMIM terms of use; it can be viewed at https://www.omim.org using the identifiers above. HPO term IDs refer to the Human Phenotype Ontology (https://hpo.jax.org).</t>
        </is>
      </c>
    </row>
  </sheetData>
  <mergeCells count="20">
    <mergeCell ref="A37:F37"/>
    <mergeCell ref="A27:F27"/>
    <mergeCell ref="A26:F26"/>
    <mergeCell ref="A3:F3"/>
    <mergeCell ref="A2:F2"/>
    <mergeCell ref="A33:F33"/>
    <mergeCell ref="A32:F32"/>
    <mergeCell ref="A8:F8"/>
    <mergeCell ref="A35:F35"/>
    <mergeCell ref="A29:F29"/>
    <mergeCell ref="A28:F28"/>
    <mergeCell ref="A9:F9"/>
    <mergeCell ref="A31:F31"/>
    <mergeCell ref="A34:F34"/>
    <mergeCell ref="A40:F40"/>
    <mergeCell ref="A30:F30"/>
    <mergeCell ref="A36:F36"/>
    <mergeCell ref="A6:F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12" customWidth="1" min="3" max="3"/>
    <col width="12" customWidth="1" min="4" max="4"/>
    <col width="28" customWidth="1" min="5" max="5"/>
    <col width="30" customWidth="1" min="6" max="6"/>
    <col width="11" customWidth="1" min="7" max="7"/>
    <col width="26" customWidth="1" min="8" max="8"/>
    <col width="24" customWidth="1" min="9" max="9"/>
    <col width="22" customWidth="1" min="10" max="10"/>
    <col width="40" customWidth="1" min="11" max="11"/>
    <col width="10" customWidth="1" min="12" max="12"/>
    <col width="60" customWidth="1" min="13" max="13"/>
    <col width="10" customWidth="1" min="14" max="14"/>
    <col width="44" customWidth="1" min="15" max="15"/>
    <col width="46" customWidth="1" min="16" max="16"/>
  </cols>
  <sheetData>
    <row r="1" ht="42" customHeight="1">
      <c r="A1" s="7" t="inlineStr">
        <is>
          <t>Record ID</t>
        </is>
      </c>
      <c r="B1" s="7" t="inlineStr">
        <is>
          <t>Disease family</t>
        </is>
      </c>
      <c r="C1" s="7" t="inlineStr">
        <is>
          <t>Subtype abbreviation</t>
        </is>
      </c>
      <c r="D1" s="7" t="inlineStr">
        <is>
          <t>OMIM phenotype MIM number</t>
        </is>
      </c>
      <c r="E1" s="7" t="inlineStr">
        <is>
          <t>Source identifiers</t>
        </is>
      </c>
      <c r="F1" s="7" t="inlineStr">
        <is>
          <t>Source type</t>
        </is>
      </c>
      <c r="G1" s="7" t="inlineStr">
        <is>
          <t>Ciliopathy class</t>
        </is>
      </c>
      <c r="H1" s="7" t="inlineStr">
        <is>
          <t>Clinical group</t>
        </is>
      </c>
      <c r="I1" s="7" t="inlineStr">
        <is>
          <t>Associated genes</t>
        </is>
      </c>
      <c r="J1" s="7" t="inlineStr">
        <is>
          <t>Inheritance (as curated)</t>
        </is>
      </c>
      <c r="K1" s="7" t="inlineStr">
        <is>
          <t>Organ systems involved</t>
        </is>
      </c>
      <c r="L1" s="7" t="inlineStr">
        <is>
          <t>Number of HPO terms</t>
        </is>
      </c>
      <c r="M1" s="7" t="inlineStr">
        <is>
          <t>HPO term IDs</t>
        </is>
      </c>
      <c r="N1" s="7" t="inlineStr">
        <is>
          <t>Included in analysis</t>
        </is>
      </c>
      <c r="O1" s="7" t="inlineStr">
        <is>
          <t>Reason for exclusion</t>
        </is>
      </c>
      <c r="P1" s="7" t="inlineStr">
        <is>
          <t>Note</t>
        </is>
      </c>
    </row>
    <row r="2">
      <c r="A2" s="8" t="inlineStr">
        <is>
          <t>CILP_0001</t>
        </is>
      </c>
      <c r="B2" s="8" t="inlineStr">
        <is>
          <t>Acrocallosal Syndrome</t>
        </is>
      </c>
      <c r="C2" s="8" t="inlineStr">
        <is>
          <t>ACLS</t>
        </is>
      </c>
      <c r="D2" s="8" t="inlineStr">
        <is>
          <t>200990</t>
        </is>
      </c>
      <c r="E2" s="8" t="inlineStr">
        <is>
          <t>OMIM:200990</t>
        </is>
      </c>
      <c r="F2" s="8" t="inlineStr">
        <is>
          <t>OMIM phenotype entry</t>
        </is>
      </c>
      <c r="G2" s="8" t="inlineStr">
        <is>
          <t>Primary</t>
        </is>
      </c>
      <c r="H2" s="8" t="inlineStr">
        <is>
          <t>Neurodevelopmental ciliopathy</t>
        </is>
      </c>
      <c r="I2" s="8" t="inlineStr">
        <is>
          <t>KIF7</t>
        </is>
      </c>
      <c r="J2" s="8" t="inlineStr">
        <is>
          <t>AR</t>
        </is>
      </c>
      <c r="K2" s="8" t="inlineStr">
        <is>
          <t>Abdomen; Eyes; Ears; Cardiovascular; Growth; Genitourinary; Head and neck; Limbs; Nervous system; Skeletal; Skin</t>
        </is>
      </c>
      <c r="L2" s="8" t="n">
        <v>81</v>
      </c>
      <c r="M2" s="8" t="inlineStr">
        <is>
          <t>HP:0001177; HP:0000286; HP:0001770; HP:0000486; HP:0000365; HP:0010803; HP:0002023; HP:0001250; HP:0002263; HP:0010808; HP:0000160; HP:0003196; HP:0001252; HP:0001290; HP:0010291; HP:0000639; HP:0000319; HP:0012471; HP:0011220; HP:0000316; HP:0008897; HP:0009942; HP:0001841; HP:0000358; HP:0001249; HP:0000054; HP:0000494; HP:0000175; HP:0005148; HP:0001182; HP:0001537; HP:0006101; HP:0000648; HP:0000207; HP:0004209; HP:0009611; HP:0000322; HP:0000047; HP:0000685; HP:0000369; HP:0000204; HP:0000143; HP:0000384; HP:0006329; HP:0001671; HP:0000343; HP:0000023; HP:0001156; HP:0000260; HP:0001274; HP:0010864; HP:0001508; HP:0000337; HP:0030680; HP:0000218; HP:0002714; HP:0006335; HP:0000256; HP:0000212; HP:0000377; HP:0000154; HP:0000431; HP:0000233; HP:0001641; HP:0001162; HP:0000194; HP:0003781; HP:0000193; HP:0000190; HP:0010576; HP:0007370; HP:0000308; HP:0010066; HP:0007894; HP:0001830; HP:0002007; HP:0001510; HP:0000303; HP:0000028; HP:0000589; HP:0000269</t>
        </is>
      </c>
      <c r="N2" s="8" t="inlineStr">
        <is>
          <t>No</t>
        </is>
      </c>
      <c r="O2" s="8" t="inlineStr">
        <is>
          <t>Disease family with fewer than 5 entries</t>
        </is>
      </c>
      <c r="P2" s="8" t="n"/>
    </row>
    <row r="3">
      <c r="A3" s="8" t="inlineStr">
        <is>
          <t>CILP_0002</t>
        </is>
      </c>
      <c r="B3" s="8" t="inlineStr">
        <is>
          <t>Al-Gazali-Bakalinova Syndrome</t>
        </is>
      </c>
      <c r="C3" s="8" t="inlineStr">
        <is>
          <t>AGBK</t>
        </is>
      </c>
      <c r="D3" s="8" t="inlineStr">
        <is>
          <t>607131</t>
        </is>
      </c>
      <c r="E3" s="8" t="inlineStr">
        <is>
          <t>OMIM:607131</t>
        </is>
      </c>
      <c r="F3" s="8" t="inlineStr">
        <is>
          <t>OMIM phenotype entry</t>
        </is>
      </c>
      <c r="G3" s="8" t="inlineStr">
        <is>
          <t>Primary</t>
        </is>
      </c>
      <c r="H3" s="8" t="inlineStr">
        <is>
          <t>General / needs curation</t>
        </is>
      </c>
      <c r="I3" s="8" t="inlineStr">
        <is>
          <t>KIF7</t>
        </is>
      </c>
      <c r="J3" s="8" t="inlineStr">
        <is>
          <t>AR</t>
        </is>
      </c>
      <c r="K3" s="8" t="inlineStr">
        <is>
          <t>Abdomen; Eyes; Ears; Head and neck; Limbs; Nervous system; Metabolism; Skeletal</t>
        </is>
      </c>
      <c r="L3" s="8" t="n">
        <v>28</v>
      </c>
      <c r="M3" s="8" t="inlineStr">
        <is>
          <t>HP:0003037; HP:0000023; HP:0001274; HP:0001270; HP:0003071; HP:0010442; HP:0012444; HP:0000316; HP:0002419; HP:0030084; HP:0002857; HP:0002656; HP:0001004; HP:0000256; HP:0002654; HP:0000431; HP:0002079; HP:0001263; HP:0000272; HP:0000470; HP:0001182; HP:0005280; HP:0001999; HP:0000767; HP:0000768; HP:0000207; HP:0002007; HP:0000369</t>
        </is>
      </c>
      <c r="N3" s="8" t="inlineStr">
        <is>
          <t>No</t>
        </is>
      </c>
      <c r="O3" s="8" t="inlineStr">
        <is>
          <t>Disease family with fewer than 5 entries</t>
        </is>
      </c>
      <c r="P3" s="8" t="n"/>
    </row>
    <row r="4">
      <c r="A4" s="8" t="inlineStr">
        <is>
          <t>CILP_0003</t>
        </is>
      </c>
      <c r="B4" s="8" t="inlineStr">
        <is>
          <t>Alström Syndrome</t>
        </is>
      </c>
      <c r="C4" s="8" t="inlineStr">
        <is>
          <t>ALMS</t>
        </is>
      </c>
      <c r="D4" s="8" t="inlineStr">
        <is>
          <t>203800</t>
        </is>
      </c>
      <c r="E4" s="8" t="inlineStr">
        <is>
          <t>OMIM:203800</t>
        </is>
      </c>
      <c r="F4" s="8" t="inlineStr">
        <is>
          <t>OMIM phenotype entry</t>
        </is>
      </c>
      <c r="G4" s="8" t="inlineStr">
        <is>
          <t>Primary</t>
        </is>
      </c>
      <c r="H4" s="8" t="inlineStr">
        <is>
          <t>Multisystem ciliopathy</t>
        </is>
      </c>
      <c r="I4" s="8" t="inlineStr">
        <is>
          <t>ALMS1</t>
        </is>
      </c>
      <c r="J4" s="8" t="inlineStr">
        <is>
          <t>AR</t>
        </is>
      </c>
      <c r="K4" s="8" t="inlineStr">
        <is>
          <t>Abdomen; Eyes; Ears; Cardiovascular; Endocrine; Growth; Genitourinary; Immune system; Head and neck; Limbs; Nervous system; Metabolism; Respiratory; Skeletal; Skin</t>
        </is>
      </c>
      <c r="L4" s="8" t="n">
        <v>54</v>
      </c>
      <c r="M4" s="8" t="inlineStr">
        <is>
          <t>HP:0001133; HP:0000164; HP:0003233; HP:0000123; HP:0004322; HP:0001970; HP:0000083; HP:0003074; HP:0010442; HP:0000639; HP:0000956; HP:0000873; HP:0040217; HP:0007843; HP:0004438; HP:0001763; HP:0000831; HP:0001644; HP:0000572; HP:0002155; HP:0000771; HP:0001263; HP:0000408; HP:0000407; HP:0005616; HP:0002621; HP:0000842; HP:0000523; HP:0002149; HP:0001397; HP:0001596; HP:0002240; HP:0000580; HP:0000815; HP:0000858; HP:0000618; HP:0000613; HP:0006532; HP:0200120; HP:0002910; HP:0005987; HP:0000230; HP:0002650; HP:0002099; HP:0002808; HP:0000822; HP:0001635; HP:0000821; HP:0000824; HP:0000505; HP:0000548; HP:0001956; HP:0000388; HP:0001513</t>
        </is>
      </c>
      <c r="N4" s="8" t="inlineStr">
        <is>
          <t>No</t>
        </is>
      </c>
      <c r="O4" s="8" t="inlineStr">
        <is>
          <t>Disease family with fewer than 5 entries</t>
        </is>
      </c>
      <c r="P4" s="8" t="n"/>
    </row>
    <row r="5">
      <c r="A5" s="8" t="inlineStr">
        <is>
          <t>CILP_0004</t>
        </is>
      </c>
      <c r="B5" s="8" t="inlineStr">
        <is>
          <t>Ataxia-telangiectasia-like Disorder</t>
        </is>
      </c>
      <c r="C5" s="8" t="inlineStr">
        <is>
          <t>ATLD1</t>
        </is>
      </c>
      <c r="D5" s="8" t="inlineStr">
        <is>
          <t>604391</t>
        </is>
      </c>
      <c r="E5" s="8" t="inlineStr">
        <is>
          <t>OMIM:604391</t>
        </is>
      </c>
      <c r="F5" s="8" t="inlineStr">
        <is>
          <t>OMIM phenotype entry</t>
        </is>
      </c>
      <c r="G5" s="8" t="inlineStr">
        <is>
          <t>Secondary</t>
        </is>
      </c>
      <c r="H5" s="8" t="inlineStr">
        <is>
          <t>Atypical / secondary ciliopathy</t>
        </is>
      </c>
      <c r="I5" s="8" t="inlineStr">
        <is>
          <t>MRE11</t>
        </is>
      </c>
      <c r="J5" s="8" t="inlineStr">
        <is>
          <t>AR</t>
        </is>
      </c>
      <c r="K5" s="8" t="inlineStr">
        <is>
          <t>Eyes; Cardiovascular; Limbs; Nervous system; Metabolism; Skeletal; Skin</t>
        </is>
      </c>
      <c r="L5" s="8" t="n">
        <v>25</v>
      </c>
      <c r="M5" s="8" t="inlineStr">
        <is>
          <t>HP:0000640; HP:0001310; HP:0001332; HP:0001272; HP:0003693; HP:0002066; HP:0001252; HP:0001251; HP:0002061; HP:0007286; HP:0000657; HP:0001009; HP:0002317; HP:0002359; HP:0001265; HP:0000571; HP:0000750; HP:0001266; HP:0001260; HP:0002075; HP:0002072; HP:0011133; HP:0007772; HP:0003438; HP:0001315</t>
        </is>
      </c>
      <c r="N5" s="8" t="inlineStr">
        <is>
          <t>No</t>
        </is>
      </c>
      <c r="O5" s="8" t="inlineStr">
        <is>
          <t>Disease family with fewer than 5 entries</t>
        </is>
      </c>
      <c r="P5" s="8" t="n"/>
    </row>
    <row r="6">
      <c r="A6" s="8" t="inlineStr">
        <is>
          <t>CILP_0005</t>
        </is>
      </c>
      <c r="B6" s="8" t="inlineStr">
        <is>
          <t>Ataxia-telangiectasia-like Disorder</t>
        </is>
      </c>
      <c r="C6" s="8" t="inlineStr">
        <is>
          <t>ATLD2</t>
        </is>
      </c>
      <c r="D6" s="8" t="inlineStr">
        <is>
          <t>615919</t>
        </is>
      </c>
      <c r="E6" s="8" t="inlineStr">
        <is>
          <t>OMIM:615919</t>
        </is>
      </c>
      <c r="F6" s="8" t="inlineStr">
        <is>
          <t>OMIM phenotype entry</t>
        </is>
      </c>
      <c r="G6" s="8" t="inlineStr">
        <is>
          <t>Secondary</t>
        </is>
      </c>
      <c r="H6" s="8" t="inlineStr">
        <is>
          <t>Atypical / secondary ciliopathy</t>
        </is>
      </c>
      <c r="I6" s="8" t="inlineStr">
        <is>
          <t>PCNA</t>
        </is>
      </c>
      <c r="J6" s="8" t="inlineStr">
        <is>
          <t>AR</t>
        </is>
      </c>
      <c r="K6" s="8" t="inlineStr">
        <is>
          <t>Abdomen; Eyes; Ears; Cardiovascular; Growth; Head and neck; Limbs; Nervous system; Skeletal; Skin</t>
        </is>
      </c>
      <c r="L6" s="8" t="n">
        <v>21</v>
      </c>
      <c r="M6" s="8" t="inlineStr">
        <is>
          <t>HP:0003323; HP:0002015; HP:0000252; HP:0000992; HP:0001761; HP:0004322; HP:0001272; HP:0001260; HP:0001263; HP:0001251; HP:0034697; HP:0002180; HP:0034392; HP:0000407; HP:0031087; HP:0000613; HP:0000524; HP:0002317; HP:0001324; HP:0000776; HP:0005328</t>
        </is>
      </c>
      <c r="N6" s="8" t="inlineStr">
        <is>
          <t>No</t>
        </is>
      </c>
      <c r="O6" s="8" t="inlineStr">
        <is>
          <t>Disease family with fewer than 5 entries</t>
        </is>
      </c>
      <c r="P6" s="8" t="n"/>
    </row>
    <row r="7">
      <c r="A7" s="8" t="inlineStr">
        <is>
          <t>CILP_0006</t>
        </is>
      </c>
      <c r="B7" s="8" t="inlineStr">
        <is>
          <t>Autosomal Dominant Polycystic Kidney Disease</t>
        </is>
      </c>
      <c r="C7" s="8" t="inlineStr">
        <is>
          <t>PKD1</t>
        </is>
      </c>
      <c r="D7" s="8" t="inlineStr">
        <is>
          <t>173900</t>
        </is>
      </c>
      <c r="E7" s="8" t="inlineStr">
        <is>
          <t>OMIM:173900</t>
        </is>
      </c>
      <c r="F7" s="8" t="inlineStr">
        <is>
          <t>OMIM phenotype entry</t>
        </is>
      </c>
      <c r="G7" s="8" t="inlineStr">
        <is>
          <t>Primary</t>
        </is>
      </c>
      <c r="H7" s="8" t="inlineStr">
        <is>
          <t>Renal-hepatic ciliopathy</t>
        </is>
      </c>
      <c r="I7" s="8" t="inlineStr">
        <is>
          <t>PKD1</t>
        </is>
      </c>
      <c r="J7" s="8" t="inlineStr">
        <is>
          <t>AD</t>
        </is>
      </c>
      <c r="K7" s="8" t="inlineStr">
        <is>
          <t>Abdomen; Cardiovascular; Genitourinary; Nervous system</t>
        </is>
      </c>
      <c r="L7" s="8" t="n">
        <v>8</v>
      </c>
      <c r="M7" s="8" t="inlineStr">
        <is>
          <t>HP:0000083; HP:0002253; HP:0000822; HP:0001407; HP:0000113; HP:0001653; HP:0007029; HP:0001634</t>
        </is>
      </c>
      <c r="N7" s="8" t="inlineStr">
        <is>
          <t>Yes</t>
        </is>
      </c>
      <c r="O7" s="8" t="n"/>
      <c r="P7" s="8" t="n"/>
    </row>
    <row r="8">
      <c r="A8" s="8" t="inlineStr">
        <is>
          <t>CILP_0007</t>
        </is>
      </c>
      <c r="B8" s="8" t="inlineStr">
        <is>
          <t>Autosomal Dominant Polycystic Kidney Disease</t>
        </is>
      </c>
      <c r="C8" s="8" t="inlineStr">
        <is>
          <t>PKD3</t>
        </is>
      </c>
      <c r="D8" s="8" t="inlineStr">
        <is>
          <t>600666</t>
        </is>
      </c>
      <c r="E8" s="8" t="inlineStr">
        <is>
          <t>OMIM:600666</t>
        </is>
      </c>
      <c r="F8" s="8" t="inlineStr">
        <is>
          <t>OMIM phenotype entry</t>
        </is>
      </c>
      <c r="G8" s="8" t="inlineStr">
        <is>
          <t>Primary</t>
        </is>
      </c>
      <c r="H8" s="8" t="inlineStr">
        <is>
          <t>Renal-hepatic ciliopathy</t>
        </is>
      </c>
      <c r="I8" s="8" t="inlineStr">
        <is>
          <t>GANAB</t>
        </is>
      </c>
      <c r="J8" s="8" t="inlineStr">
        <is>
          <t>AD</t>
        </is>
      </c>
      <c r="K8" s="8" t="inlineStr">
        <is>
          <t>Abdomen; Cardiovascular; Genitourinary; Nervous system</t>
        </is>
      </c>
      <c r="L8" s="8" t="n">
        <v>5</v>
      </c>
      <c r="M8" s="8" t="inlineStr">
        <is>
          <t>HP:0001410; HP:0000822; HP:0001407; HP:0004944; HP:0000113</t>
        </is>
      </c>
      <c r="N8" s="8" t="inlineStr">
        <is>
          <t>Yes</t>
        </is>
      </c>
      <c r="O8" s="8" t="n"/>
      <c r="P8" s="8" t="n"/>
    </row>
    <row r="9">
      <c r="A9" s="8" t="inlineStr">
        <is>
          <t>CILP_0008</t>
        </is>
      </c>
      <c r="B9" s="8" t="inlineStr">
        <is>
          <t>Autosomal Dominant Polycystic Kidney Disease</t>
        </is>
      </c>
      <c r="C9" s="8" t="inlineStr">
        <is>
          <t>PKD4</t>
        </is>
      </c>
      <c r="D9" s="8" t="inlineStr">
        <is>
          <t>606702</t>
        </is>
      </c>
      <c r="E9" s="8" t="inlineStr">
        <is>
          <t>ORPHA:730</t>
        </is>
      </c>
      <c r="F9" s="8" t="inlineStr">
        <is>
          <t>Orphanet entry (matched by disease name)</t>
        </is>
      </c>
      <c r="G9" s="8" t="inlineStr">
        <is>
          <t>Primary</t>
        </is>
      </c>
      <c r="H9" s="8" t="inlineStr">
        <is>
          <t>Renal-hepatic ciliopathy</t>
        </is>
      </c>
      <c r="I9" s="8" t="inlineStr">
        <is>
          <t>FCYT</t>
        </is>
      </c>
      <c r="J9" s="8" t="inlineStr">
        <is>
          <t>Autosomal dominant</t>
        </is>
      </c>
      <c r="K9" s="8" t="inlineStr">
        <is>
          <t>Abdomen; Cardiovascular; Endocrine; Genitourinary; Immune system; Nervous system; Metabolism</t>
        </is>
      </c>
      <c r="L9" s="8" t="n">
        <v>26</v>
      </c>
      <c r="M9" s="8" t="inlineStr">
        <is>
          <t>HP:0000083; HP:0000107; HP:0001407; HP:0003259; HP:0012213; HP:0000790; HP:0000822; HP:0003774; HP:0012591; HP:0012592; HP:0012622; HP:0030157; HP:0000010; HP:0000105; HP:0000791; HP:0001634; HP:0001737; HP:0002616; HP:0004944; HP:0006557; HP:0008672; HP:0011004; HP:0012207; HP:0012330; HP:0100702; HP:0011760</t>
        </is>
      </c>
      <c r="N9" s="8" t="inlineStr">
        <is>
          <t>Yes</t>
        </is>
      </c>
      <c r="O9" s="8" t="n"/>
      <c r="P9" s="8" t="n"/>
    </row>
    <row r="10">
      <c r="A10" s="8" t="inlineStr">
        <is>
          <t>CILP_0009</t>
        </is>
      </c>
      <c r="B10" s="8" t="inlineStr">
        <is>
          <t>Autosomal Dominant Polycystic Kidney Disease</t>
        </is>
      </c>
      <c r="C10" s="8" t="inlineStr">
        <is>
          <t>PKD2</t>
        </is>
      </c>
      <c r="D10" s="8" t="inlineStr">
        <is>
          <t>613095</t>
        </is>
      </c>
      <c r="E10" s="8" t="inlineStr">
        <is>
          <t>OMIM:613095</t>
        </is>
      </c>
      <c r="F10" s="8" t="inlineStr">
        <is>
          <t>OMIM phenotype entry</t>
        </is>
      </c>
      <c r="G10" s="8" t="inlineStr">
        <is>
          <t>Primary</t>
        </is>
      </c>
      <c r="H10" s="8" t="inlineStr">
        <is>
          <t>Renal-hepatic ciliopathy</t>
        </is>
      </c>
      <c r="I10" s="8" t="inlineStr">
        <is>
          <t>PKD2</t>
        </is>
      </c>
      <c r="J10" s="8" t="inlineStr">
        <is>
          <t>INCOMPLETE_PENETRANCE; AD</t>
        </is>
      </c>
      <c r="K10" s="8" t="inlineStr">
        <is>
          <t>Abdomen; Cardiovascular; Genitourinary; Immune system; Head and neck; Metabolism; Skin</t>
        </is>
      </c>
      <c r="L10" s="8" t="n">
        <v>18</v>
      </c>
      <c r="M10" s="8" t="inlineStr">
        <is>
          <t>HP:0003774; HP:0000010; HP:0001696; HP:0001651; HP:0003155; HP:0000083; HP:0005562; HP:0002240; HP:0011800; HP:0030948; HP:0006254; HP:0000822; HP:0001407; HP:0002900; HP:0000113; HP:0003259; HP:0000952; HP:0000324</t>
        </is>
      </c>
      <c r="N10" s="8" t="inlineStr">
        <is>
          <t>Yes</t>
        </is>
      </c>
      <c r="O10" s="8" t="n"/>
      <c r="P10" s="8" t="n"/>
    </row>
    <row r="11">
      <c r="A11" s="8" t="inlineStr">
        <is>
          <t>CILP_0010</t>
        </is>
      </c>
      <c r="B11" s="8" t="inlineStr">
        <is>
          <t>Autosomal Dominant Polycystic Kidney Disease</t>
        </is>
      </c>
      <c r="C11" s="8" t="inlineStr">
        <is>
          <t>PKD5</t>
        </is>
      </c>
      <c r="D11" s="8" t="inlineStr">
        <is>
          <t>617610</t>
        </is>
      </c>
      <c r="E11" s="8" t="inlineStr">
        <is>
          <t>OMIM:617610</t>
        </is>
      </c>
      <c r="F11" s="8" t="inlineStr">
        <is>
          <t>OMIM phenotype entry</t>
        </is>
      </c>
      <c r="G11" s="8" t="inlineStr">
        <is>
          <t>Primary</t>
        </is>
      </c>
      <c r="H11" s="8" t="inlineStr">
        <is>
          <t>Renal-hepatic ciliopathy</t>
        </is>
      </c>
      <c r="I11" s="8" t="inlineStr">
        <is>
          <t>DZIP1L</t>
        </is>
      </c>
      <c r="J11" s="8" t="inlineStr">
        <is>
          <t>AR</t>
        </is>
      </c>
      <c r="K11" s="8" t="inlineStr">
        <is>
          <t>Abdomen; Cardiovascular; Genitourinary; Immune system</t>
        </is>
      </c>
      <c r="L11" s="8" t="n">
        <v>7</v>
      </c>
      <c r="M11" s="8" t="inlineStr">
        <is>
          <t>HP:0003774; HP:0005565; HP:0004719; HP:0000822; HP:0001433; HP:0000113; HP:0000105</t>
        </is>
      </c>
      <c r="N11" s="8" t="inlineStr">
        <is>
          <t>Yes</t>
        </is>
      </c>
      <c r="O11" s="8" t="n"/>
      <c r="P11" s="8" t="n"/>
    </row>
    <row r="12">
      <c r="A12" s="8" t="inlineStr">
        <is>
          <t>CILP_0011</t>
        </is>
      </c>
      <c r="B12" s="8" t="inlineStr">
        <is>
          <t>Autosomal Dominant Polycystic Kidney Disease</t>
        </is>
      </c>
      <c r="C12" s="8" t="inlineStr">
        <is>
          <t>PKD6</t>
        </is>
      </c>
      <c r="D12" s="8" t="inlineStr">
        <is>
          <t>618061</t>
        </is>
      </c>
      <c r="E12" s="8" t="inlineStr">
        <is>
          <t>OMIM:618061</t>
        </is>
      </c>
      <c r="F12" s="8" t="inlineStr">
        <is>
          <t>OMIM phenotype entry</t>
        </is>
      </c>
      <c r="G12" s="8" t="inlineStr">
        <is>
          <t>Primary</t>
        </is>
      </c>
      <c r="H12" s="8" t="inlineStr">
        <is>
          <t>Renal-hepatic ciliopathy</t>
        </is>
      </c>
      <c r="I12" s="8" t="inlineStr">
        <is>
          <t>DNAJB11</t>
        </is>
      </c>
      <c r="J12" s="8" t="inlineStr">
        <is>
          <t>AD</t>
        </is>
      </c>
      <c r="K12" s="8" t="inlineStr">
        <is>
          <t>Abdomen; Cardiovascular; Genitourinary; Skeletal</t>
        </is>
      </c>
      <c r="L12" s="8" t="n">
        <v>7</v>
      </c>
      <c r="M12" s="8" t="inlineStr">
        <is>
          <t>HP:0003774; HP:0000083; HP:0000822; HP:0001407; HP:0012213; HP:0000113; HP:0001997</t>
        </is>
      </c>
      <c r="N12" s="8" t="inlineStr">
        <is>
          <t>Yes</t>
        </is>
      </c>
      <c r="O12" s="8" t="n"/>
      <c r="P12" s="8" t="n"/>
    </row>
    <row r="13">
      <c r="A13" s="8" t="inlineStr">
        <is>
          <t>CILP_0012</t>
        </is>
      </c>
      <c r="B13" s="8" t="inlineStr">
        <is>
          <t>Autosomal Dominant Polycystic Kidney Disease</t>
        </is>
      </c>
      <c r="C13" s="8" t="inlineStr">
        <is>
          <t>PKD7</t>
        </is>
      </c>
      <c r="D13" s="8" t="inlineStr">
        <is>
          <t>620056</t>
        </is>
      </c>
      <c r="E13" s="8" t="inlineStr">
        <is>
          <t>OMIM:620056</t>
        </is>
      </c>
      <c r="F13" s="8" t="inlineStr">
        <is>
          <t>OMIM phenotype entry</t>
        </is>
      </c>
      <c r="G13" s="8" t="inlineStr">
        <is>
          <t>Primary</t>
        </is>
      </c>
      <c r="H13" s="8" t="inlineStr">
        <is>
          <t>Renal-hepatic ciliopathy</t>
        </is>
      </c>
      <c r="I13" s="8" t="inlineStr">
        <is>
          <t>ALG5</t>
        </is>
      </c>
      <c r="J13" s="8" t="inlineStr">
        <is>
          <t>AD</t>
        </is>
      </c>
      <c r="K13" s="8" t="inlineStr">
        <is>
          <t>Cardiovascular; Genitourinary</t>
        </is>
      </c>
      <c r="L13" s="8" t="n">
        <v>6</v>
      </c>
      <c r="M13" s="8" t="inlineStr">
        <is>
          <t>HP:0003774; HP:0012585; HP:0032948; HP:0000083; HP:0005562; HP:0000822</t>
        </is>
      </c>
      <c r="N13" s="8" t="inlineStr">
        <is>
          <t>Yes</t>
        </is>
      </c>
      <c r="O13" s="8" t="n"/>
      <c r="P13" s="8" t="n"/>
    </row>
    <row r="14">
      <c r="A14" s="8" t="inlineStr">
        <is>
          <t>CILP_0013</t>
        </is>
      </c>
      <c r="B14" s="8" t="inlineStr">
        <is>
          <t>Autosomal Dominant Polycystic Kidney Disease</t>
        </is>
      </c>
      <c r="C14" s="8" t="inlineStr">
        <is>
          <t>PKD</t>
        </is>
      </c>
      <c r="D14" s="8" t="n"/>
      <c r="E14" s="8" t="inlineStr">
        <is>
          <t>ORPHA:730</t>
        </is>
      </c>
      <c r="F14" s="8" t="inlineStr">
        <is>
          <t>Orphanet entry (matched by disease name)</t>
        </is>
      </c>
      <c r="G14" s="8" t="inlineStr">
        <is>
          <t>Primary</t>
        </is>
      </c>
      <c r="H14" s="8" t="inlineStr">
        <is>
          <t>Renal-hepatic ciliopathy</t>
        </is>
      </c>
      <c r="I14" s="8" t="inlineStr">
        <is>
          <t>ACOT13; ALG9; CYS1; IFT140; PTGER2</t>
        </is>
      </c>
      <c r="J14" s="8" t="inlineStr">
        <is>
          <t>Autosomal dominant</t>
        </is>
      </c>
      <c r="K14" s="8" t="inlineStr">
        <is>
          <t>Abdomen; Cardiovascular; Endocrine; Genitourinary; Immune system; Nervous system; Metabolism</t>
        </is>
      </c>
      <c r="L14" s="8" t="n">
        <v>26</v>
      </c>
      <c r="M14" s="8" t="inlineStr">
        <is>
          <t>HP:0000083; HP:0000107; HP:0001407; HP:0003259; HP:0012213; HP:0000790; HP:0000822; HP:0003774; HP:0012591; HP:0012592; HP:0012622; HP:0030157; HP:0000010; HP:0000105; HP:0000791; HP:0001634; HP:0001737; HP:0002616; HP:0004944; HP:0006557; HP:0008672; HP:0011004; HP:0012207; HP:0012330; HP:0100702; HP:0011760</t>
        </is>
      </c>
      <c r="N14" s="8" t="inlineStr">
        <is>
          <t>No</t>
        </is>
      </c>
      <c r="O14" s="8" t="inlineStr">
        <is>
          <t>Exact duplicate of CILP_0008 (identical features, same family)</t>
        </is>
      </c>
      <c r="P14" s="8" t="n"/>
    </row>
    <row r="15">
      <c r="A15" s="8" t="inlineStr">
        <is>
          <t>CILP_0014</t>
        </is>
      </c>
      <c r="B15" s="8" t="inlineStr">
        <is>
          <t>Autosomal Recessive Polycystic Kidney Disease</t>
        </is>
      </c>
      <c r="C15" s="8" t="inlineStr">
        <is>
          <t>PKD4</t>
        </is>
      </c>
      <c r="D15" s="8" t="inlineStr">
        <is>
          <t>263200</t>
        </is>
      </c>
      <c r="E15" s="8" t="inlineStr">
        <is>
          <t>OMIM:263200</t>
        </is>
      </c>
      <c r="F15" s="8" t="inlineStr">
        <is>
          <t>OMIM phenotype entry</t>
        </is>
      </c>
      <c r="G15" s="8" t="inlineStr">
        <is>
          <t>Primary</t>
        </is>
      </c>
      <c r="H15" s="8" t="inlineStr">
        <is>
          <t>Renal-hepatic ciliopathy</t>
        </is>
      </c>
      <c r="I15" s="8" t="inlineStr">
        <is>
          <t>PKHD1</t>
        </is>
      </c>
      <c r="J15" s="8" t="inlineStr">
        <is>
          <t>AR</t>
        </is>
      </c>
      <c r="K15" s="8" t="inlineStr">
        <is>
          <t>Abdomen; Cardiovascular; Genitourinary; Immune system; Head and neck; Metabolism; Respiratory</t>
        </is>
      </c>
      <c r="L15" s="8" t="n">
        <v>22</v>
      </c>
      <c r="M15" s="8" t="inlineStr">
        <is>
          <t>HP:0002089; HP:0005576; HP:0000083; HP:0001395; HP:0002240; HP:0002040; HP:0001409; HP:0004719; HP:0001944; HP:0001405; HP:0001407; HP:0000113; HP:0001744; HP:0008659; HP:0001562; HP:0005564; HP:0000822; HP:0000107; HP:0001737; HP:0002009; HP:0000105; HP:0002248</t>
        </is>
      </c>
      <c r="N15" s="8" t="inlineStr">
        <is>
          <t>No</t>
        </is>
      </c>
      <c r="O15" s="8" t="inlineStr">
        <is>
          <t>Disease family with fewer than 5 entries</t>
        </is>
      </c>
      <c r="P15" s="8" t="n"/>
    </row>
    <row r="16">
      <c r="A16" s="8" t="inlineStr">
        <is>
          <t>CILP_0015</t>
        </is>
      </c>
      <c r="B16" s="8" t="inlineStr">
        <is>
          <t>Autosomal Recessive Polycystic Kidney Disease</t>
        </is>
      </c>
      <c r="C16" s="8" t="inlineStr">
        <is>
          <t>PKD5</t>
        </is>
      </c>
      <c r="D16" s="8" t="inlineStr">
        <is>
          <t>617610</t>
        </is>
      </c>
      <c r="E16" s="8" t="inlineStr">
        <is>
          <t>OMIM:617610</t>
        </is>
      </c>
      <c r="F16" s="8" t="inlineStr">
        <is>
          <t>OMIM phenotype entry</t>
        </is>
      </c>
      <c r="G16" s="8" t="inlineStr">
        <is>
          <t>Primary</t>
        </is>
      </c>
      <c r="H16" s="8" t="inlineStr">
        <is>
          <t>Renal-hepatic ciliopathy</t>
        </is>
      </c>
      <c r="I16" s="8" t="inlineStr">
        <is>
          <t>DZIP1L</t>
        </is>
      </c>
      <c r="J16" s="8" t="inlineStr">
        <is>
          <t>AR</t>
        </is>
      </c>
      <c r="K16" s="8" t="inlineStr">
        <is>
          <t>Abdomen; Cardiovascular; Genitourinary; Immune system</t>
        </is>
      </c>
      <c r="L16" s="8" t="n">
        <v>7</v>
      </c>
      <c r="M16" s="8" t="inlineStr">
        <is>
          <t>HP:0003774; HP:0005565; HP:0004719; HP:0000822; HP:0001433; HP:0000113; HP:0000105</t>
        </is>
      </c>
      <c r="N16" s="8" t="inlineStr">
        <is>
          <t>No</t>
        </is>
      </c>
      <c r="O16" s="8" t="inlineStr">
        <is>
          <t>Disease family with fewer than 5 entries</t>
        </is>
      </c>
      <c r="P16" s="8" t="n"/>
    </row>
    <row r="17">
      <c r="A17" s="8" t="inlineStr">
        <is>
          <t>CILP_0016</t>
        </is>
      </c>
      <c r="B17" s="8" t="inlineStr">
        <is>
          <t>Bardet–Biedl Syndrome</t>
        </is>
      </c>
      <c r="C17" s="8" t="inlineStr">
        <is>
          <t>BBS1</t>
        </is>
      </c>
      <c r="D17" s="8" t="inlineStr">
        <is>
          <t>209900</t>
        </is>
      </c>
      <c r="E17" s="8" t="inlineStr">
        <is>
          <t>OMIM:209900</t>
        </is>
      </c>
      <c r="F17" s="8" t="inlineStr">
        <is>
          <t>OMIM phenotype entry</t>
        </is>
      </c>
      <c r="G17" s="8" t="inlineStr">
        <is>
          <t>Primary</t>
        </is>
      </c>
      <c r="H17" s="8" t="inlineStr">
        <is>
          <t>Multisystem ciliopathy</t>
        </is>
      </c>
      <c r="I17" s="8" t="inlineStr">
        <is>
          <t>BBS1</t>
        </is>
      </c>
      <c r="J17" s="8" t="inlineStr">
        <is>
          <t>AR</t>
        </is>
      </c>
      <c r="K17" s="8" t="inlineStr">
        <is>
          <t>Abdomen; Eyes; Ears; Cardiovascular; Endocrine; Growth; Genitourinary; Immune system; Head and neck; Limbs; Nervous system; Metabolism; Respiratory; Skeletal; Skin</t>
        </is>
      </c>
      <c r="L17" s="8" t="n">
        <v>62</v>
      </c>
      <c r="M17" s="8" t="inlineStr">
        <is>
          <t>HP:0000483; HP:0000365; HP:0001773; HP:0000486; HP:0001251; HP:0002141; HP:0012743; HP:0000518; HP:0000639; HP:0012393; HP:0001328; HP:0000678; HP:0009466; HP:0001769; HP:0008734; HP:0000510; HP:0007843; HP:0001007; HP:0001249; HP:0000556; HP:0002311; HP:0000054; HP:0009806; HP:0001263; HP:0010750; HP:0100259; HP:0002705; HP:0007994; HP:0007737; HP:0000662; HP:0002167; HP:0001156; HP:0030631; HP:0001395; HP:0000819; HP:0001829; HP:0000855; HP:0007663; HP:0000218; HP:0000135; HP:0000256; HP:0000137; HP:0000077; HP:0000750; HP:0002650; HP:0001162; HP:0002099; HP:0002251; HP:0001080; HP:0000508; HP:0000822; HP:0000668; HP:0001712; HP:0000546; HP:0001956; HP:0001830; HP:0001159; HP:0000501; HP:0000545; HP:0001513; HP:0000786; HP:0000148</t>
        </is>
      </c>
      <c r="N17" s="8" t="inlineStr">
        <is>
          <t>Yes</t>
        </is>
      </c>
      <c r="O17" s="8" t="n"/>
      <c r="P17" s="8" t="n"/>
    </row>
    <row r="18">
      <c r="A18" s="8" t="inlineStr">
        <is>
          <t>CILP_0017</t>
        </is>
      </c>
      <c r="B18" s="8" t="inlineStr">
        <is>
          <t>Bardet–Biedl Syndrome</t>
        </is>
      </c>
      <c r="C18" s="8" t="inlineStr">
        <is>
          <t>BBS3</t>
        </is>
      </c>
      <c r="D18" s="8" t="inlineStr">
        <is>
          <t>600151</t>
        </is>
      </c>
      <c r="E18" s="8" t="inlineStr">
        <is>
          <t>OMIM:600151</t>
        </is>
      </c>
      <c r="F18" s="8" t="inlineStr">
        <is>
          <t>OMIM phenotype entry</t>
        </is>
      </c>
      <c r="G18" s="8" t="inlineStr">
        <is>
          <t>Primary</t>
        </is>
      </c>
      <c r="H18" s="8" t="inlineStr">
        <is>
          <t>Multisystem ciliopathy</t>
        </is>
      </c>
      <c r="I18" s="8" t="inlineStr">
        <is>
          <t>ARL6</t>
        </is>
      </c>
      <c r="J18" s="8" t="inlineStr">
        <is>
          <t>AR</t>
        </is>
      </c>
      <c r="K18" s="8" t="inlineStr">
        <is>
          <t>Eyes; Cardiovascular; Growth; Genitourinary; Limbs; Nervous system; Skeletal</t>
        </is>
      </c>
      <c r="L18" s="8" t="n">
        <v>12</v>
      </c>
      <c r="M18" s="8" t="inlineStr">
        <is>
          <t>HP:0000662; HP:0000089; HP:0001156; HP:0001263; HP:0003241; HP:0000580; HP:0005180; HP:0100259; HP:0000505; HP:0000510; HP:0001513; HP:0001249</t>
        </is>
      </c>
      <c r="N18" s="8" t="inlineStr">
        <is>
          <t>Yes</t>
        </is>
      </c>
      <c r="O18" s="8" t="n"/>
      <c r="P18" s="8" t="n"/>
    </row>
    <row r="19">
      <c r="A19" s="8" t="inlineStr">
        <is>
          <t>CILP_0018</t>
        </is>
      </c>
      <c r="B19" s="8" t="inlineStr">
        <is>
          <t>Bardet–Biedl Syndrome</t>
        </is>
      </c>
      <c r="C19" s="8" t="inlineStr">
        <is>
          <t>BBS6</t>
        </is>
      </c>
      <c r="D19" s="8" t="inlineStr">
        <is>
          <t>605231</t>
        </is>
      </c>
      <c r="E19" s="8" t="inlineStr">
        <is>
          <t>OMIM:605231</t>
        </is>
      </c>
      <c r="F19" s="8" t="inlineStr">
        <is>
          <t>OMIM phenotype entry</t>
        </is>
      </c>
      <c r="G19" s="8" t="inlineStr">
        <is>
          <t>Primary</t>
        </is>
      </c>
      <c r="H19" s="8" t="inlineStr">
        <is>
          <t>Multisystem ciliopathy</t>
        </is>
      </c>
      <c r="I19" s="8" t="inlineStr">
        <is>
          <t>MKKS</t>
        </is>
      </c>
      <c r="J19" s="8" t="inlineStr">
        <is>
          <t>AR</t>
        </is>
      </c>
      <c r="K19" s="8" t="inlineStr">
        <is>
          <t>Eyes; Endocrine; Growth; Genitourinary; Limbs; Nervous system; Metabolism; Skeletal</t>
        </is>
      </c>
      <c r="L19" s="8" t="n">
        <v>11</v>
      </c>
      <c r="M19" s="8" t="inlineStr">
        <is>
          <t>HP:0003241; HP:0000580; HP:0000819; HP:0100259; HP:0000107; HP:0000510; HP:0001159; HP:0000047; HP:0001249; HP:0001513; HP:0000148</t>
        </is>
      </c>
      <c r="N19" s="8" t="inlineStr">
        <is>
          <t>Yes</t>
        </is>
      </c>
      <c r="O19" s="8" t="n"/>
      <c r="P19" s="8" t="n"/>
    </row>
    <row r="20">
      <c r="A20" s="8" t="inlineStr">
        <is>
          <t>CILP_0019</t>
        </is>
      </c>
      <c r="B20" s="8" t="inlineStr">
        <is>
          <t>Bardet–Biedl Syndrome</t>
        </is>
      </c>
      <c r="C20" s="8" t="inlineStr">
        <is>
          <t>BBS2</t>
        </is>
      </c>
      <c r="D20" s="8" t="inlineStr">
        <is>
          <t>615981</t>
        </is>
      </c>
      <c r="E20" s="8" t="inlineStr">
        <is>
          <t>OMIM:615981</t>
        </is>
      </c>
      <c r="F20" s="8" t="inlineStr">
        <is>
          <t>OMIM phenotype entry</t>
        </is>
      </c>
      <c r="G20" s="8" t="inlineStr">
        <is>
          <t>Primary</t>
        </is>
      </c>
      <c r="H20" s="8" t="inlineStr">
        <is>
          <t>Multisystem ciliopathy</t>
        </is>
      </c>
      <c r="I20" s="8" t="inlineStr">
        <is>
          <t>BBS2</t>
        </is>
      </c>
      <c r="J20" s="8" t="inlineStr">
        <is>
          <t>AR</t>
        </is>
      </c>
      <c r="K20" s="8" t="inlineStr">
        <is>
          <t>Eyes; Cardiovascular; Endocrine; Growth; Genitourinary; Head and neck; Limbs; Nervous system; Metabolism; Skeletal</t>
        </is>
      </c>
      <c r="L20" s="8" t="n">
        <v>39</v>
      </c>
      <c r="M20" s="8" t="inlineStr">
        <is>
          <t>HP:0011939; HP:0010946; HP:0000662; HP:0000041; HP:0012745; HP:0012622; HP:0031624; HP:0000819; HP:0000319; HP:0032285; HP:0001647; HP:0000414; HP:0000678; HP:0000752; HP:0000510; HP:0000135; HP:0000311; HP:0001249; HP:0001644; HP:0000494; HP:0000054; HP:0000233; HP:0001162; HP:0000490; HP:0001263; HP:0003241; HP:0000470; HP:0005280; HP:0001959; HP:0000822; HP:0000546; HP:0007994; HP:0001511; HP:0000103; HP:0001830; HP:0001631; HP:0000047; HP:0000003; HP:0001513</t>
        </is>
      </c>
      <c r="N20" s="8" t="inlineStr">
        <is>
          <t>Yes</t>
        </is>
      </c>
      <c r="O20" s="8" t="n"/>
      <c r="P20" s="8" t="n"/>
    </row>
    <row r="21">
      <c r="A21" s="8" t="inlineStr">
        <is>
          <t>CILP_0020</t>
        </is>
      </c>
      <c r="B21" s="8" t="inlineStr">
        <is>
          <t>Bardet–Biedl Syndrome</t>
        </is>
      </c>
      <c r="C21" s="8" t="inlineStr">
        <is>
          <t>BBS4</t>
        </is>
      </c>
      <c r="D21" s="8" t="inlineStr">
        <is>
          <t>615982</t>
        </is>
      </c>
      <c r="E21" s="8" t="inlineStr">
        <is>
          <t>OMIM:615982</t>
        </is>
      </c>
      <c r="F21" s="8" t="inlineStr">
        <is>
          <t>OMIM phenotype entry</t>
        </is>
      </c>
      <c r="G21" s="8" t="inlineStr">
        <is>
          <t>Primary</t>
        </is>
      </c>
      <c r="H21" s="8" t="inlineStr">
        <is>
          <t>Multisystem ciliopathy</t>
        </is>
      </c>
      <c r="I21" s="8" t="inlineStr">
        <is>
          <t>BBS4</t>
        </is>
      </c>
      <c r="J21" s="8" t="inlineStr">
        <is>
          <t>AR</t>
        </is>
      </c>
      <c r="K21" s="8" t="inlineStr">
        <is>
          <t>Eyes; Endocrine; Growth; Genitourinary; Head and neck; Limbs; Nervous system; Skeletal</t>
        </is>
      </c>
      <c r="L21" s="8" t="n">
        <v>14</v>
      </c>
      <c r="M21" s="8" t="inlineStr">
        <is>
          <t>HP:0000077; HP:0000164; HP:0000662; HP:0001156; HP:0003241; HP:0010442; HP:0000107; HP:0000546; HP:0000510; HP:0001159; HP:0000135; HP:0000028; HP:0001513; HP:0001249</t>
        </is>
      </c>
      <c r="N21" s="8" t="inlineStr">
        <is>
          <t>Yes</t>
        </is>
      </c>
      <c r="O21" s="8" t="n"/>
      <c r="P21" s="8" t="n"/>
    </row>
    <row r="22">
      <c r="A22" s="8" t="inlineStr">
        <is>
          <t>CILP_0021</t>
        </is>
      </c>
      <c r="B22" s="8" t="inlineStr">
        <is>
          <t>Bardet–Biedl Syndrome</t>
        </is>
      </c>
      <c r="C22" s="8" t="inlineStr">
        <is>
          <t>BBS5</t>
        </is>
      </c>
      <c r="D22" s="8" t="inlineStr">
        <is>
          <t>615983</t>
        </is>
      </c>
      <c r="E22" s="8" t="inlineStr">
        <is>
          <t>OMIM:615983</t>
        </is>
      </c>
      <c r="F22" s="8" t="inlineStr">
        <is>
          <t>OMIM phenotype entry</t>
        </is>
      </c>
      <c r="G22" s="8" t="inlineStr">
        <is>
          <t>Primary</t>
        </is>
      </c>
      <c r="H22" s="8" t="inlineStr">
        <is>
          <t>Multisystem ciliopathy</t>
        </is>
      </c>
      <c r="I22" s="8" t="inlineStr">
        <is>
          <t>BBS5</t>
        </is>
      </c>
      <c r="J22" s="8" t="inlineStr">
        <is>
          <t>AR</t>
        </is>
      </c>
      <c r="K22" s="8" t="inlineStr">
        <is>
          <t>Eyes; Cardiovascular; Endocrine; Growth; Genitourinary; Head and neck; Limbs; Nervous system; Skeletal</t>
        </is>
      </c>
      <c r="L22" s="8" t="n">
        <v>20</v>
      </c>
      <c r="M22" s="8" t="inlineStr">
        <is>
          <t>HP:0007737; HP:0000054; HP:0000750; HP:0001256; HP:0000662; HP:0001156; HP:0003241; HP:0100259; HP:0000668; HP:0007663; HP:0004209; HP:0007401; HP:0007754; HP:0000543; HP:0007787; HP:0000510; HP:0001159; HP:0007843; HP:0000135; HP:0001513</t>
        </is>
      </c>
      <c r="N22" s="8" t="inlineStr">
        <is>
          <t>Yes</t>
        </is>
      </c>
      <c r="O22" s="8" t="n"/>
      <c r="P22" s="8" t="n"/>
    </row>
    <row r="23">
      <c r="A23" s="8" t="inlineStr">
        <is>
          <t>CILP_0022</t>
        </is>
      </c>
      <c r="B23" s="8" t="inlineStr">
        <is>
          <t>Bardet–Biedl Syndrome</t>
        </is>
      </c>
      <c r="C23" s="8" t="inlineStr">
        <is>
          <t>BBS7</t>
        </is>
      </c>
      <c r="D23" s="8" t="inlineStr">
        <is>
          <t>615984</t>
        </is>
      </c>
      <c r="E23" s="8" t="inlineStr">
        <is>
          <t>OMIM:615984</t>
        </is>
      </c>
      <c r="F23" s="8" t="inlineStr">
        <is>
          <t>OMIM phenotype entry</t>
        </is>
      </c>
      <c r="G23" s="8" t="inlineStr">
        <is>
          <t>Primary</t>
        </is>
      </c>
      <c r="H23" s="8" t="inlineStr">
        <is>
          <t>Multisystem ciliopathy</t>
        </is>
      </c>
      <c r="I23" s="8" t="inlineStr">
        <is>
          <t>BBS7</t>
        </is>
      </c>
      <c r="J23" s="8" t="inlineStr">
        <is>
          <t>AR</t>
        </is>
      </c>
      <c r="K23" s="8" t="inlineStr">
        <is>
          <t>Eyes; Endocrine; Growth; Genitourinary; Head and neck; Limbs; Nervous system; Skeletal</t>
        </is>
      </c>
      <c r="L23" s="8" t="n">
        <v>13</v>
      </c>
      <c r="M23" s="8" t="inlineStr">
        <is>
          <t>HP:0000490; HP:0000160; HP:0000272; HP:0004691; HP:0010442; HP:0005280; HP:0100259; HP:0000316; HP:0030084; HP:0000510; HP:0000135; HP:0001513; HP:0001249</t>
        </is>
      </c>
      <c r="N23" s="8" t="inlineStr">
        <is>
          <t>Yes</t>
        </is>
      </c>
      <c r="O23" s="8" t="n"/>
      <c r="P23" s="8" t="n"/>
    </row>
    <row r="24">
      <c r="A24" s="8" t="inlineStr">
        <is>
          <t>CILP_0023</t>
        </is>
      </c>
      <c r="B24" s="8" t="inlineStr">
        <is>
          <t>Bardet–Biedl Syndrome</t>
        </is>
      </c>
      <c r="C24" s="8" t="inlineStr">
        <is>
          <t>BBS8</t>
        </is>
      </c>
      <c r="D24" s="8" t="inlineStr">
        <is>
          <t>615985</t>
        </is>
      </c>
      <c r="E24" s="8" t="inlineStr">
        <is>
          <t>OMIM:615985</t>
        </is>
      </c>
      <c r="F24" s="8" t="inlineStr">
        <is>
          <t>OMIM phenotype entry</t>
        </is>
      </c>
      <c r="G24" s="8" t="inlineStr">
        <is>
          <t>Primary</t>
        </is>
      </c>
      <c r="H24" s="8" t="inlineStr">
        <is>
          <t>Multisystem ciliopathy</t>
        </is>
      </c>
      <c r="I24" s="8" t="inlineStr">
        <is>
          <t>TTC8</t>
        </is>
      </c>
      <c r="J24" s="8" t="inlineStr">
        <is>
          <t>AR</t>
        </is>
      </c>
      <c r="K24" s="8" t="inlineStr">
        <is>
          <t>Eyes; Cardiovascular; Endocrine; Growth; Genitourinary; Head and neck; Limbs; Nervous system; Skeletal</t>
        </is>
      </c>
      <c r="L24" s="8" t="n">
        <v>10</v>
      </c>
      <c r="M24" s="8" t="inlineStr">
        <is>
          <t>HP:0000110; HP:0100259; HP:0001696; HP:0001263; HP:0000510; HP:0000135; HP:0000047; HP:0000248; HP:0001249; HP:0001513</t>
        </is>
      </c>
      <c r="N24" s="8" t="inlineStr">
        <is>
          <t>Yes</t>
        </is>
      </c>
      <c r="O24" s="8" t="n"/>
      <c r="P24" s="8" t="n"/>
    </row>
    <row r="25">
      <c r="A25" s="8" t="inlineStr">
        <is>
          <t>CILP_0024</t>
        </is>
      </c>
      <c r="B25" s="8" t="inlineStr">
        <is>
          <t>Bardet–Biedl Syndrome</t>
        </is>
      </c>
      <c r="C25" s="8" t="inlineStr">
        <is>
          <t>BBS9</t>
        </is>
      </c>
      <c r="D25" s="8" t="inlineStr">
        <is>
          <t>615986</t>
        </is>
      </c>
      <c r="E25" s="8" t="inlineStr">
        <is>
          <t>OMIM:615986</t>
        </is>
      </c>
      <c r="F25" s="8" t="inlineStr">
        <is>
          <t>OMIM phenotype entry</t>
        </is>
      </c>
      <c r="G25" s="8" t="inlineStr">
        <is>
          <t>Primary</t>
        </is>
      </c>
      <c r="H25" s="8" t="inlineStr">
        <is>
          <t>Multisystem ciliopathy</t>
        </is>
      </c>
      <c r="I25" s="8" t="inlineStr">
        <is>
          <t>BBS9</t>
        </is>
      </c>
      <c r="J25" s="8" t="inlineStr">
        <is>
          <t>AR</t>
        </is>
      </c>
      <c r="K25" s="8" t="inlineStr">
        <is>
          <t>Eyes; Cardiovascular; Growth; Genitourinary; Limbs; Nervous system; Metabolism; Skeletal</t>
        </is>
      </c>
      <c r="L25" s="8" t="n">
        <v>23</v>
      </c>
      <c r="M25" s="8" t="inlineStr">
        <is>
          <t>HP:0000483; HP:0007737; HP:0000486; HP:0001156; HP:0000083; HP:0003074; HP:0010442; HP:0000518; HP:0000858; HP:0000510; HP:0007843; HP:0001249; HP:0000750; HP:0001162; HP:0001263; HP:0002591; HP:0100259; HP:0001959; HP:0000546; HP:0001956; HP:0001159; HP:0001830; HP:0001513</t>
        </is>
      </c>
      <c r="N25" s="8" t="inlineStr">
        <is>
          <t>Yes</t>
        </is>
      </c>
      <c r="O25" s="8" t="n"/>
      <c r="P25" s="8" t="n"/>
    </row>
    <row r="26">
      <c r="A26" s="8" t="inlineStr">
        <is>
          <t>CILP_0025</t>
        </is>
      </c>
      <c r="B26" s="8" t="inlineStr">
        <is>
          <t>Bardet–Biedl Syndrome</t>
        </is>
      </c>
      <c r="C26" s="8" t="inlineStr">
        <is>
          <t>BBS10</t>
        </is>
      </c>
      <c r="D26" s="8" t="inlineStr">
        <is>
          <t>615987</t>
        </is>
      </c>
      <c r="E26" s="8" t="inlineStr">
        <is>
          <t>OMIM:615987</t>
        </is>
      </c>
      <c r="F26" s="8" t="inlineStr">
        <is>
          <t>OMIM phenotype entry</t>
        </is>
      </c>
      <c r="G26" s="8" t="inlineStr">
        <is>
          <t>Primary</t>
        </is>
      </c>
      <c r="H26" s="8" t="inlineStr">
        <is>
          <t>Multisystem ciliopathy</t>
        </is>
      </c>
      <c r="I26" s="8" t="inlineStr">
        <is>
          <t>BBS10</t>
        </is>
      </c>
      <c r="J26" s="8" t="inlineStr">
        <is>
          <t>AR</t>
        </is>
      </c>
      <c r="K26" s="8" t="inlineStr">
        <is>
          <t>Eyes; Endocrine; Growth; Genitourinary; Limbs; Nervous system; Skeletal</t>
        </is>
      </c>
      <c r="L26" s="8" t="n">
        <v>10</v>
      </c>
      <c r="M26" s="8" t="inlineStr">
        <is>
          <t>HP:0001256; HP:0001250; HP:0000083; HP:0001263; HP:0000107; HP:0010442; HP:0000510; HP:0000135; HP:0001513; HP:0000556</t>
        </is>
      </c>
      <c r="N26" s="8" t="inlineStr">
        <is>
          <t>Yes</t>
        </is>
      </c>
      <c r="O26" s="8" t="n"/>
      <c r="P26" s="8" t="n"/>
    </row>
    <row r="27">
      <c r="A27" s="8" t="inlineStr">
        <is>
          <t>CILP_0026</t>
        </is>
      </c>
      <c r="B27" s="8" t="inlineStr">
        <is>
          <t>Bardet–Biedl Syndrome</t>
        </is>
      </c>
      <c r="C27" s="8" t="inlineStr">
        <is>
          <t>BBS11</t>
        </is>
      </c>
      <c r="D27" s="8" t="inlineStr">
        <is>
          <t>615988</t>
        </is>
      </c>
      <c r="E27" s="8" t="inlineStr">
        <is>
          <t>OMIM:615988</t>
        </is>
      </c>
      <c r="F27" s="8" t="inlineStr">
        <is>
          <t>OMIM phenotype entry</t>
        </is>
      </c>
      <c r="G27" s="8" t="inlineStr">
        <is>
          <t>Primary</t>
        </is>
      </c>
      <c r="H27" s="8" t="inlineStr">
        <is>
          <t>Multisystem ciliopathy</t>
        </is>
      </c>
      <c r="I27" s="8" t="inlineStr">
        <is>
          <t>TRIM32</t>
        </is>
      </c>
      <c r="J27" s="8" t="inlineStr">
        <is>
          <t>AR</t>
        </is>
      </c>
      <c r="K27" s="8" t="inlineStr">
        <is>
          <t>Eyes; Endocrine; Growth; Genitourinary; Limbs; Skeletal</t>
        </is>
      </c>
      <c r="L27" s="8" t="n">
        <v>5</v>
      </c>
      <c r="M27" s="8" t="inlineStr">
        <is>
          <t>HP:0000077; HP:0010442; HP:0000488; HP:0000135; HP:0001513</t>
        </is>
      </c>
      <c r="N27" s="8" t="inlineStr">
        <is>
          <t>Yes</t>
        </is>
      </c>
      <c r="O27" s="8" t="n"/>
      <c r="P27" s="8" t="n"/>
    </row>
    <row r="28">
      <c r="A28" s="8" t="inlineStr">
        <is>
          <t>CILP_0027</t>
        </is>
      </c>
      <c r="B28" s="8" t="inlineStr">
        <is>
          <t>Bardet–Biedl Syndrome</t>
        </is>
      </c>
      <c r="C28" s="8" t="inlineStr">
        <is>
          <t>BBS12</t>
        </is>
      </c>
      <c r="D28" s="8" t="inlineStr">
        <is>
          <t>615989</t>
        </is>
      </c>
      <c r="E28" s="8" t="inlineStr">
        <is>
          <t>OMIM:615989</t>
        </is>
      </c>
      <c r="F28" s="8" t="inlineStr">
        <is>
          <t>OMIM phenotype entry</t>
        </is>
      </c>
      <c r="G28" s="8" t="inlineStr">
        <is>
          <t>Primary</t>
        </is>
      </c>
      <c r="H28" s="8" t="inlineStr">
        <is>
          <t>Multisystem ciliopathy</t>
        </is>
      </c>
      <c r="I28" s="8" t="inlineStr">
        <is>
          <t>BBS12</t>
        </is>
      </c>
      <c r="J28" s="8" t="inlineStr">
        <is>
          <t>AR</t>
        </is>
      </c>
      <c r="K28" s="8" t="inlineStr">
        <is>
          <t>Abdomen; Eyes; Endocrine; Growth; Genitourinary; Limbs; Nervous system; Skeletal</t>
        </is>
      </c>
      <c r="L28" s="8" t="n">
        <v>13</v>
      </c>
      <c r="M28" s="8" t="inlineStr">
        <is>
          <t>HP:0001162; HP:0000072; HP:0010442; HP:0031500; HP:0100543; HP:0000800; HP:0030010; HP:0001830; HP:0000510; HP:0000135; HP:0001513; HP:0000126; HP:0000148</t>
        </is>
      </c>
      <c r="N28" s="8" t="inlineStr">
        <is>
          <t>Yes</t>
        </is>
      </c>
      <c r="O28" s="8" t="n"/>
      <c r="P28" s="8" t="n"/>
    </row>
    <row r="29">
      <c r="A29" s="8" t="inlineStr">
        <is>
          <t>CILP_0028</t>
        </is>
      </c>
      <c r="B29" s="8" t="inlineStr">
        <is>
          <t>Bardet–Biedl Syndrome</t>
        </is>
      </c>
      <c r="C29" s="8" t="inlineStr">
        <is>
          <t>BBS13</t>
        </is>
      </c>
      <c r="D29" s="8" t="inlineStr">
        <is>
          <t>615990</t>
        </is>
      </c>
      <c r="E29" s="8" t="inlineStr">
        <is>
          <t>OMIM:615990</t>
        </is>
      </c>
      <c r="F29" s="8" t="inlineStr">
        <is>
          <t>OMIM phenotype entry</t>
        </is>
      </c>
      <c r="G29" s="8" t="inlineStr">
        <is>
          <t>Primary</t>
        </is>
      </c>
      <c r="H29" s="8" t="inlineStr">
        <is>
          <t>Multisystem ciliopathy</t>
        </is>
      </c>
      <c r="I29" s="8" t="inlineStr">
        <is>
          <t>MKS1</t>
        </is>
      </c>
      <c r="J29" s="8" t="inlineStr">
        <is>
          <t>AR</t>
        </is>
      </c>
      <c r="K29" s="8" t="inlineStr">
        <is>
          <t>Eyes; Cardiovascular; Growth; Limbs; Nervous system; Skeletal</t>
        </is>
      </c>
      <c r="L29" s="8" t="n">
        <v>7</v>
      </c>
      <c r="M29" s="8" t="inlineStr">
        <is>
          <t>HP:0007737; HP:0001263; HP:0010442; HP:0000510; HP:0007843; HP:0001249; HP:0001513</t>
        </is>
      </c>
      <c r="N29" s="8" t="inlineStr">
        <is>
          <t>Yes</t>
        </is>
      </c>
      <c r="O29" s="8" t="n"/>
      <c r="P29" s="8" t="n"/>
    </row>
    <row r="30">
      <c r="A30" s="8" t="inlineStr">
        <is>
          <t>CILP_0029</t>
        </is>
      </c>
      <c r="B30" s="8" t="inlineStr">
        <is>
          <t>Bardet–Biedl Syndrome</t>
        </is>
      </c>
      <c r="C30" s="8" t="inlineStr">
        <is>
          <t>BBS14</t>
        </is>
      </c>
      <c r="D30" s="8" t="inlineStr">
        <is>
          <t>615991</t>
        </is>
      </c>
      <c r="E30" s="8" t="inlineStr">
        <is>
          <t>OMIM:615991</t>
        </is>
      </c>
      <c r="F30" s="8" t="inlineStr">
        <is>
          <t>OMIM phenotype entry</t>
        </is>
      </c>
      <c r="G30" s="8" t="inlineStr">
        <is>
          <t>Primary</t>
        </is>
      </c>
      <c r="H30" s="8" t="inlineStr">
        <is>
          <t>Multisystem ciliopathy</t>
        </is>
      </c>
      <c r="I30" s="8" t="inlineStr">
        <is>
          <t>CEP290</t>
        </is>
      </c>
      <c r="J30" s="8" t="inlineStr">
        <is>
          <t>AR</t>
        </is>
      </c>
      <c r="K30" s="8" t="inlineStr">
        <is>
          <t>Eyes; Growth; Genitourinary; Limbs; Nervous system; Skeletal</t>
        </is>
      </c>
      <c r="L30" s="8" t="n">
        <v>7</v>
      </c>
      <c r="M30" s="8" t="inlineStr">
        <is>
          <t>HP:0000639; HP:0000083; HP:0001263; HP:0010442; HP:0000510; HP:0001513; HP:0001249</t>
        </is>
      </c>
      <c r="N30" s="8" t="inlineStr">
        <is>
          <t>Yes</t>
        </is>
      </c>
      <c r="O30" s="8" t="n"/>
      <c r="P30" s="8" t="n"/>
    </row>
    <row r="31">
      <c r="A31" s="8" t="inlineStr">
        <is>
          <t>CILP_0030</t>
        </is>
      </c>
      <c r="B31" s="8" t="inlineStr">
        <is>
          <t>Bardet–Biedl Syndrome</t>
        </is>
      </c>
      <c r="C31" s="8" t="inlineStr">
        <is>
          <t>BBS15</t>
        </is>
      </c>
      <c r="D31" s="8" t="inlineStr">
        <is>
          <t>615992</t>
        </is>
      </c>
      <c r="E31" s="8" t="inlineStr">
        <is>
          <t>OMIM:615992</t>
        </is>
      </c>
      <c r="F31" s="8" t="inlineStr">
        <is>
          <t>OMIM phenotype entry</t>
        </is>
      </c>
      <c r="G31" s="8" t="inlineStr">
        <is>
          <t>Primary</t>
        </is>
      </c>
      <c r="H31" s="8" t="inlineStr">
        <is>
          <t>Multisystem ciliopathy</t>
        </is>
      </c>
      <c r="I31" s="8" t="inlineStr">
        <is>
          <t>WDPCP</t>
        </is>
      </c>
      <c r="J31" s="8" t="inlineStr">
        <is>
          <t>AR</t>
        </is>
      </c>
      <c r="K31" s="8" t="n"/>
      <c r="L31" s="8" t="n">
        <v>0</v>
      </c>
      <c r="M31" s="8" t="n"/>
      <c r="N31" s="8" t="inlineStr">
        <is>
          <t>No</t>
        </is>
      </c>
      <c r="O31" s="8" t="inlineStr">
        <is>
          <t>No HPO term in the source annotation</t>
        </is>
      </c>
      <c r="P31" s="8" t="n"/>
    </row>
    <row r="32">
      <c r="A32" s="8" t="inlineStr">
        <is>
          <t>CILP_0031</t>
        </is>
      </c>
      <c r="B32" s="8" t="inlineStr">
        <is>
          <t>Bardet–Biedl Syndrome</t>
        </is>
      </c>
      <c r="C32" s="8" t="inlineStr">
        <is>
          <t>BBS16</t>
        </is>
      </c>
      <c r="D32" s="8" t="inlineStr">
        <is>
          <t>615993</t>
        </is>
      </c>
      <c r="E32" s="8" t="inlineStr">
        <is>
          <t>OMIM:615993</t>
        </is>
      </c>
      <c r="F32" s="8" t="inlineStr">
        <is>
          <t>OMIM phenotype entry</t>
        </is>
      </c>
      <c r="G32" s="8" t="inlineStr">
        <is>
          <t>Primary</t>
        </is>
      </c>
      <c r="H32" s="8" t="inlineStr">
        <is>
          <t>Multisystem ciliopathy</t>
        </is>
      </c>
      <c r="I32" s="8" t="inlineStr">
        <is>
          <t>SDCCAG8</t>
        </is>
      </c>
      <c r="J32" s="8" t="inlineStr">
        <is>
          <t>AR</t>
        </is>
      </c>
      <c r="K32" s="8" t="inlineStr">
        <is>
          <t>Eyes; Ears; Endocrine; Growth; Genitourinary; Immune system; Limbs; Nervous system; Respiratory; Skeletal</t>
        </is>
      </c>
      <c r="L32" s="8" t="n">
        <v>21</v>
      </c>
      <c r="M32" s="8" t="inlineStr">
        <is>
          <t>HP:0000110; HP:0003774; HP:0000365; HP:0004322; HP:0002098; HP:0000083; HP:0001263; HP:0003241; HP:0010442; HP:0011950; HP:0100543; HP:0000107; HP:0000403; HP:0000546; HP:0007663; HP:0002205; HP:0000510; HP:0000135; HP:0001249; HP:0001513; HP:0000104</t>
        </is>
      </c>
      <c r="N32" s="8" t="inlineStr">
        <is>
          <t>Yes</t>
        </is>
      </c>
      <c r="O32" s="8" t="n"/>
      <c r="P32" s="8" t="n"/>
    </row>
    <row r="33">
      <c r="A33" s="8" t="inlineStr">
        <is>
          <t>CILP_0032</t>
        </is>
      </c>
      <c r="B33" s="8" t="inlineStr">
        <is>
          <t>Bardet–Biedl Syndrome</t>
        </is>
      </c>
      <c r="C33" s="8" t="inlineStr">
        <is>
          <t>BBS17</t>
        </is>
      </c>
      <c r="D33" s="8" t="inlineStr">
        <is>
          <t>615994</t>
        </is>
      </c>
      <c r="E33" s="8" t="inlineStr">
        <is>
          <t>OMIM:615994</t>
        </is>
      </c>
      <c r="F33" s="8" t="inlineStr">
        <is>
          <t>OMIM phenotype entry</t>
        </is>
      </c>
      <c r="G33" s="8" t="inlineStr">
        <is>
          <t>Primary</t>
        </is>
      </c>
      <c r="H33" s="8" t="inlineStr">
        <is>
          <t>Multisystem ciliopathy</t>
        </is>
      </c>
      <c r="I33" s="8" t="inlineStr">
        <is>
          <t>LZTFL1</t>
        </is>
      </c>
      <c r="J33" s="8" t="inlineStr">
        <is>
          <t>AR</t>
        </is>
      </c>
      <c r="K33" s="8" t="inlineStr">
        <is>
          <t>Eyes; Cardiovascular; Endocrine; Growth; Genitourinary; Head and neck; Limbs; Nervous system; Skeletal</t>
        </is>
      </c>
      <c r="L33" s="8" t="n">
        <v>28</v>
      </c>
      <c r="M33" s="8" t="inlineStr">
        <is>
          <t>HP:0003774; HP:0007737; HP:0001696; HP:0001156; HP:0001651; HP:0010442; HP:0100543; HP:0000458; HP:0007401; HP:0006159; HP:0000510; HP:0000135; HP:0001249; HP:0002311; HP:0000054; HP:0001162; HP:0001263; HP:0100260; HP:0001959; HP:0000107; HP:0000546; HP:0004409; HP:0000505; HP:0000548; HP:0001830; HP:0000103; HP:0001513; HP:0004689</t>
        </is>
      </c>
      <c r="N33" s="8" t="inlineStr">
        <is>
          <t>Yes</t>
        </is>
      </c>
      <c r="O33" s="8" t="n"/>
      <c r="P33" s="8" t="n"/>
    </row>
    <row r="34">
      <c r="A34" s="8" t="inlineStr">
        <is>
          <t>CILP_0033</t>
        </is>
      </c>
      <c r="B34" s="8" t="inlineStr">
        <is>
          <t>Bardet–Biedl Syndrome</t>
        </is>
      </c>
      <c r="C34" s="8" t="inlineStr">
        <is>
          <t>BBS18</t>
        </is>
      </c>
      <c r="D34" s="8" t="inlineStr">
        <is>
          <t>615995</t>
        </is>
      </c>
      <c r="E34" s="8" t="inlineStr">
        <is>
          <t>OMIM:615995</t>
        </is>
      </c>
      <c r="F34" s="8" t="inlineStr">
        <is>
          <t>OMIM phenotype entry</t>
        </is>
      </c>
      <c r="G34" s="8" t="inlineStr">
        <is>
          <t>Primary</t>
        </is>
      </c>
      <c r="H34" s="8" t="inlineStr">
        <is>
          <t>Multisystem ciliopathy</t>
        </is>
      </c>
      <c r="I34" s="8" t="inlineStr">
        <is>
          <t>BBIP1</t>
        </is>
      </c>
      <c r="J34" s="8" t="inlineStr">
        <is>
          <t>AR</t>
        </is>
      </c>
      <c r="K34" s="8" t="inlineStr">
        <is>
          <t>Eyes; Growth; Genitourinary; Limbs; Nervous system; Skeletal</t>
        </is>
      </c>
      <c r="L34" s="8" t="n">
        <v>8</v>
      </c>
      <c r="M34" s="8" t="inlineStr">
        <is>
          <t>HP:0003774; HP:0001156; HP:0000518; HP:0000083; HP:0000510; HP:0001513; HP:0000556; HP:0001249</t>
        </is>
      </c>
      <c r="N34" s="8" t="inlineStr">
        <is>
          <t>Yes</t>
        </is>
      </c>
      <c r="O34" s="8" t="n"/>
      <c r="P34" s="8" t="n"/>
    </row>
    <row r="35">
      <c r="A35" s="8" t="inlineStr">
        <is>
          <t>CILP_0034</t>
        </is>
      </c>
      <c r="B35" s="8" t="inlineStr">
        <is>
          <t>Bardet–Biedl Syndrome</t>
        </is>
      </c>
      <c r="C35" s="8" t="inlineStr">
        <is>
          <t>BBS19</t>
        </is>
      </c>
      <c r="D35" s="8" t="inlineStr">
        <is>
          <t>615996</t>
        </is>
      </c>
      <c r="E35" s="8" t="inlineStr">
        <is>
          <t>OMIM:615996</t>
        </is>
      </c>
      <c r="F35" s="8" t="inlineStr">
        <is>
          <t>OMIM phenotype entry</t>
        </is>
      </c>
      <c r="G35" s="8" t="inlineStr">
        <is>
          <t>Primary</t>
        </is>
      </c>
      <c r="H35" s="8" t="inlineStr">
        <is>
          <t>Multisystem ciliopathy</t>
        </is>
      </c>
      <c r="I35" s="8" t="inlineStr">
        <is>
          <t>IFT27</t>
        </is>
      </c>
      <c r="J35" s="8" t="inlineStr">
        <is>
          <t>AR</t>
        </is>
      </c>
      <c r="K35" s="8" t="inlineStr">
        <is>
          <t>Abdomen; Eyes; Ears; Cardiovascular; Endocrine; Growth; Genitourinary; Head and neck; Limbs; Nervous system; Metabolism; Skeletal</t>
        </is>
      </c>
      <c r="L35" s="8" t="n">
        <v>27</v>
      </c>
      <c r="M35" s="8" t="inlineStr">
        <is>
          <t>HP:0001397; HP:0000365; HP:0000089; HP:0000083; HP:0004383; HP:0011577; HP:0001629; HP:0006159; HP:0001643; HP:0000510; HP:0020049; HP:0000135; HP:0001249; HP:0000750; HP:0031936; HP:0002079; HP:0001263; HP:0003241; HP:0100259; HP:0006042; HP:0004409; HP:0000548; HP:0001830; HP:0001631; HP:0000545; HP:0001513; HP:0000126</t>
        </is>
      </c>
      <c r="N35" s="8" t="inlineStr">
        <is>
          <t>Yes</t>
        </is>
      </c>
      <c r="O35" s="8" t="n"/>
      <c r="P35" s="8" t="n"/>
    </row>
    <row r="36">
      <c r="A36" s="8" t="inlineStr">
        <is>
          <t>CILP_0035</t>
        </is>
      </c>
      <c r="B36" s="8" t="inlineStr">
        <is>
          <t>Bardet–Biedl Syndrome</t>
        </is>
      </c>
      <c r="C36" s="8" t="inlineStr">
        <is>
          <t>BBS22</t>
        </is>
      </c>
      <c r="D36" s="8" t="inlineStr">
        <is>
          <t>617119</t>
        </is>
      </c>
      <c r="E36" s="8" t="inlineStr">
        <is>
          <t>OMIM:617119</t>
        </is>
      </c>
      <c r="F36" s="8" t="inlineStr">
        <is>
          <t>OMIM phenotype entry</t>
        </is>
      </c>
      <c r="G36" s="8" t="inlineStr">
        <is>
          <t>Primary</t>
        </is>
      </c>
      <c r="H36" s="8" t="inlineStr">
        <is>
          <t>Multisystem ciliopathy</t>
        </is>
      </c>
      <c r="I36" s="8" t="inlineStr">
        <is>
          <t>IFT74</t>
        </is>
      </c>
      <c r="J36" s="8" t="inlineStr">
        <is>
          <t>AR</t>
        </is>
      </c>
      <c r="K36" s="8" t="inlineStr">
        <is>
          <t>Eyes; Endocrine; Growth; Genitourinary; Head and neck; Limbs; Nervous system; Skeletal</t>
        </is>
      </c>
      <c r="L36" s="8" t="n">
        <v>13</v>
      </c>
      <c r="M36" s="8" t="inlineStr">
        <is>
          <t>HP:0000252; HP:0000750; HP:0001520; HP:0002591; HP:0010442; HP:0000505; HP:0001830; HP:0000510; HP:0000135; HP:0000256; HP:0001249; HP:0001513; HP:0007988</t>
        </is>
      </c>
      <c r="N36" s="8" t="inlineStr">
        <is>
          <t>Yes</t>
        </is>
      </c>
      <c r="O36" s="8" t="n"/>
      <c r="P36" s="8" t="n"/>
    </row>
    <row r="37">
      <c r="A37" s="8" t="inlineStr">
        <is>
          <t>CILP_0036</t>
        </is>
      </c>
      <c r="B37" s="8" t="inlineStr">
        <is>
          <t>Bardet–Biedl Syndrome</t>
        </is>
      </c>
      <c r="C37" s="8" t="inlineStr">
        <is>
          <t>BBS21</t>
        </is>
      </c>
      <c r="D37" s="8" t="inlineStr">
        <is>
          <t>617406</t>
        </is>
      </c>
      <c r="E37" s="8" t="inlineStr">
        <is>
          <t>OMIM:617406</t>
        </is>
      </c>
      <c r="F37" s="8" t="inlineStr">
        <is>
          <t>OMIM phenotype entry</t>
        </is>
      </c>
      <c r="G37" s="8" t="inlineStr">
        <is>
          <t>Primary</t>
        </is>
      </c>
      <c r="H37" s="8" t="inlineStr">
        <is>
          <t>Multisystem ciliopathy</t>
        </is>
      </c>
      <c r="I37" s="8" t="inlineStr">
        <is>
          <t>C8orf37</t>
        </is>
      </c>
      <c r="J37" s="8" t="inlineStr">
        <is>
          <t>AR</t>
        </is>
      </c>
      <c r="K37" s="8" t="inlineStr">
        <is>
          <t>Eyes; Growth; Genitourinary; Head and neck; Limbs; Nervous system; Metabolism; Skeletal</t>
        </is>
      </c>
      <c r="L37" s="8" t="n">
        <v>18</v>
      </c>
      <c r="M37" s="8" t="inlineStr">
        <is>
          <t>HP:0001133; HP:0000164; HP:0000750; HP:0030631; HP:0001162; HP:0000085; HP:0030329; HP:0000618; HP:0007750; HP:0030483; HP:0000668; HP:0025502; HP:0000548; HP:0000510; HP:0002910; HP:0001513; HP:0000545; HP:0001105</t>
        </is>
      </c>
      <c r="N37" s="8" t="inlineStr">
        <is>
          <t>Yes</t>
        </is>
      </c>
      <c r="O37" s="8" t="n"/>
      <c r="P37" s="8" t="n"/>
    </row>
    <row r="38">
      <c r="A38" s="8" t="inlineStr">
        <is>
          <t>CILP_0037</t>
        </is>
      </c>
      <c r="B38" s="8" t="inlineStr">
        <is>
          <t>Bardet–Biedl Syndrome</t>
        </is>
      </c>
      <c r="C38" s="8" t="inlineStr">
        <is>
          <t>BBS20</t>
        </is>
      </c>
      <c r="D38" s="8" t="inlineStr">
        <is>
          <t>619471</t>
        </is>
      </c>
      <c r="E38" s="8" t="inlineStr">
        <is>
          <t>OMIM:619471</t>
        </is>
      </c>
      <c r="F38" s="8" t="inlineStr">
        <is>
          <t>OMIM phenotype entry</t>
        </is>
      </c>
      <c r="G38" s="8" t="inlineStr">
        <is>
          <t>Primary</t>
        </is>
      </c>
      <c r="H38" s="8" t="inlineStr">
        <is>
          <t>Multisystem ciliopathy</t>
        </is>
      </c>
      <c r="I38" s="8" t="inlineStr">
        <is>
          <t>IFT172</t>
        </is>
      </c>
      <c r="J38" s="8" t="inlineStr">
        <is>
          <t>AR</t>
        </is>
      </c>
      <c r="K38" s="8" t="inlineStr">
        <is>
          <t>Abdomen; Eyes; Cardiovascular; Endocrine; Growth; Genitourinary; Immune system; Limbs; Nervous system; Metabolism; Respiratory; Skeletal</t>
        </is>
      </c>
      <c r="L38" s="8" t="n">
        <v>26</v>
      </c>
      <c r="M38" s="8" t="inlineStr">
        <is>
          <t>HP:0006889; HP:0001133; HP:0000483; HP:0000662; HP:0000540; HP:0012841; HP:0002516; HP:0000510; HP:0001841; HP:0002910; HP:0000054; HP:0000750; HP:0003124; HP:0001085; HP:0001162; HP:0002099; HP:0001263; HP:0004691; HP:0000093; HP:0100259; HP:0012047; HP:0000026; HP:0001631; HP:0008689; HP:0001513; HP:0001733</t>
        </is>
      </c>
      <c r="N38" s="8" t="inlineStr">
        <is>
          <t>Yes</t>
        </is>
      </c>
      <c r="O38" s="8" t="n"/>
      <c r="P38" s="8" t="n"/>
    </row>
    <row r="39">
      <c r="A39" s="8" t="inlineStr">
        <is>
          <t>CILP_0038</t>
        </is>
      </c>
      <c r="B39" s="8" t="inlineStr">
        <is>
          <t>Bardet–Biedl Syndrome</t>
        </is>
      </c>
      <c r="C39" s="8" t="inlineStr">
        <is>
          <t>BBS</t>
        </is>
      </c>
      <c r="D39" s="8" t="n"/>
      <c r="E39" s="8" t="inlineStr">
        <is>
          <t>OMIM:209900; OMIM:600151; OMIM:605231; OMIM:615981; OMIM:615982; OMIM:615983; OMIM:615984; OMIM:615985; OMIM:615986; OMIM:615987; OMIM:615988; OMIM:615989; OMIM:615990; OMIM:615991; OMIM:615992; OMIM:615993; OMIM:615994; OMIM:615995; OMIM:615996; OMIM:617119; OMIM:617406; OMIM:619471</t>
        </is>
      </c>
      <c r="F39" s="8" t="inlineStr">
        <is>
          <t>Family-level record (combined OMIM entries)</t>
        </is>
      </c>
      <c r="G39" s="8" t="inlineStr">
        <is>
          <t>Primary</t>
        </is>
      </c>
      <c r="H39" s="8" t="inlineStr">
        <is>
          <t>Multisystem ciliopathy</t>
        </is>
      </c>
      <c r="I39" s="8" t="inlineStr">
        <is>
          <t>IFT81; SCLT1; TTC21B</t>
        </is>
      </c>
      <c r="J39" s="8" t="inlineStr">
        <is>
          <t>AR</t>
        </is>
      </c>
      <c r="K39" s="8" t="inlineStr">
        <is>
          <t>Abdomen; Eyes; Ears; Cardiovascular; Endocrine; Growth; Genitourinary; Immune system; Head and neck; Limbs; Nervous system; Metabolism; Respiratory; Skeletal; Skin</t>
        </is>
      </c>
      <c r="L39" s="8" t="n">
        <v>168</v>
      </c>
      <c r="M39" s="8" t="inlineStr">
        <is>
          <t>HP:0000483; HP:0000365; HP:0001773; HP:0000486; HP:0001251; HP:0002141; HP:0012743; HP:0000518; HP:0000639; HP:0012393; HP:0001328; HP:0000678; HP:0009466; HP:0001769; HP:0008734; HP:0000510; HP:0007843; HP:0001007; HP:0001249; HP:0000556; HP:0002311; HP:0000054; HP:0009806; HP:0001263; HP:0010750; HP:0100259; HP:0002705; HP:0007994; HP:0007737; HP:0000662; HP:0002167; HP:0001156; HP:0030631; HP:0001395; HP:0000819; HP:0001829; HP:0000855; HP:0007663; HP:0000218; HP:0000135; HP:0000256; HP:0000137; HP:0000077; HP:0000750; HP:0002650; HP:0001162; HP:0002099; HP:0002251; HP:0001080; HP:0000508; HP:0000822; HP:0000668; HP:0001712; HP:0000546; HP:0001956; HP:0001830; HP:0001159; HP:0000501; HP:0000545; HP:0001513; HP:0000786; HP:0000148; HP:0000089; HP:0003241; HP:0000580; HP:0005180; HP:0000505; HP:0000107; HP:0000047; HP:0011939; HP:0010946; HP:0000041; HP:0012745; HP:0012622; HP:0031624; HP:0000319; HP:0032285; HP:0001647; HP:0000414; HP:0000752; HP:0000311; HP:0001644; HP:0000494; HP:0000233; HP:0000490; HP:0000470; HP:0005280; HP:0001959; HP:0001511; HP:0000103; HP:0001631; HP:0000003; HP:0000164; HP:0010442; HP:0000028; HP:0001256; HP:0004209; HP:0007401; HP:0007754; HP:0000543; HP:0007787; HP:0000160; HP:0000272; HP:0004691; HP:0000316; HP:0030084; HP:0000110; HP:0001696; HP:0000248; HP:0000083; HP:0003074; HP:0000858; HP:0002591; HP:0001250; HP:0000488; HP:0000072; HP:0031500; HP:0100543; HP:0000800; HP:0030010; HP:0000126; HP:0003774; HP:0004322; HP:0002098; HP:0011950; HP:0000403; HP:0002205; HP:0000104; HP:0001651; HP:0000458; HP:0006159; HP:0100260; HP:0004409; HP:0000548; HP:0004689; HP:0001397; HP:0004383; HP:0011577; HP:0001629; HP:0001643; HP:0020049; HP:0031936; HP:0002079; HP:0006042; HP:0000252; HP:0001520; HP:0007988; HP:0001133; HP:0000085; HP:0030329; HP:0000618; HP:0007750; HP:0030483; HP:0025502; HP:0002910; HP:0001105; HP:0006889; HP:0000540; HP:0012841; HP:0002516; HP:0001841; HP:0003124; HP:0001085; HP:0000093; HP:0012047; HP:0000026; HP:0008689; HP:0001733</t>
        </is>
      </c>
      <c r="N39" s="8" t="inlineStr">
        <is>
          <t>Yes</t>
        </is>
      </c>
      <c r="O39" s="8" t="n"/>
      <c r="P39" s="8" t="n"/>
    </row>
    <row r="40">
      <c r="A40" s="8" t="inlineStr">
        <is>
          <t>CILP_0039</t>
        </is>
      </c>
      <c r="B40" s="8" t="inlineStr">
        <is>
          <t>Bazex-Dupré-Christol Syndrome</t>
        </is>
      </c>
      <c r="C40" s="8" t="inlineStr">
        <is>
          <t>BZX</t>
        </is>
      </c>
      <c r="D40" s="8" t="inlineStr">
        <is>
          <t>301845</t>
        </is>
      </c>
      <c r="E40" s="8" t="inlineStr">
        <is>
          <t>OMIM:301845</t>
        </is>
      </c>
      <c r="F40" s="8" t="inlineStr">
        <is>
          <t>OMIM phenotype entry</t>
        </is>
      </c>
      <c r="G40" s="8" t="inlineStr">
        <is>
          <t>Primary</t>
        </is>
      </c>
      <c r="H40" s="8" t="inlineStr">
        <is>
          <t>Atypical / secondary ciliopathy</t>
        </is>
      </c>
      <c r="I40" s="8" t="inlineStr">
        <is>
          <t>ACTRT1</t>
        </is>
      </c>
      <c r="J40" s="8" t="inlineStr">
        <is>
          <t>XLD</t>
        </is>
      </c>
      <c r="K40" s="8" t="inlineStr">
        <is>
          <t>Immune system; Head and neck; Skeletal; Skin</t>
        </is>
      </c>
      <c r="L40" s="8" t="n">
        <v>19</v>
      </c>
      <c r="M40" s="8" t="inlineStr">
        <is>
          <t>HP:0001056; HP:0003764; HP:0001047; HP:0000430; HP:0000221; HP:0001382; HP:0002671; HP:0025367; HP:0008070; HP:0040154; HP:0032152; HP:0000418; HP:0000953; HP:0000964; HP:0000966; HP:0002208; HP:0009886; HP:0009765; HP:0003777</t>
        </is>
      </c>
      <c r="N40" s="8" t="inlineStr">
        <is>
          <t>No</t>
        </is>
      </c>
      <c r="O40" s="8" t="inlineStr">
        <is>
          <t>Disease family with fewer than 5 entries</t>
        </is>
      </c>
      <c r="P40" s="8" t="n"/>
    </row>
    <row r="41">
      <c r="A41" s="8" t="inlineStr">
        <is>
          <t>CILP_0040</t>
        </is>
      </c>
      <c r="B41" s="8" t="inlineStr">
        <is>
          <t>Bilateral Polycystic Kidney Disease</t>
        </is>
      </c>
      <c r="C41" s="8" t="inlineStr">
        <is>
          <t>PKD</t>
        </is>
      </c>
      <c r="D41" s="8" t="n"/>
      <c r="E41" s="8" t="inlineStr">
        <is>
          <t>OMIM:263200; OMIM:600273; OMIM:600666; OMIM:613095; OMIM:617610; OMIM:618061; OMIM:620056; OMIM:620903; OMIM:621164; ORPHA:730; ORPHA:731</t>
        </is>
      </c>
      <c r="F41" s="8" t="inlineStr">
        <is>
          <t>Family-level record (combined OMIM and Orphanet entries)</t>
        </is>
      </c>
      <c r="G41" s="8" t="inlineStr">
        <is>
          <t>Primary</t>
        </is>
      </c>
      <c r="H41" s="8" t="inlineStr">
        <is>
          <t>Renal-hepatic ciliopathy</t>
        </is>
      </c>
      <c r="I41" s="8" t="inlineStr">
        <is>
          <t>TTC21B</t>
        </is>
      </c>
      <c r="J41" s="8" t="inlineStr">
        <is>
          <t>INCOMPLETE_PENETRANCE; AD; AR</t>
        </is>
      </c>
      <c r="K41" s="8" t="inlineStr">
        <is>
          <t>Abdomen; Ears; Cardiovascular; Endocrine; Growth; Genitourinary; Immune system; Head and neck; Limbs; Nervous system; Metabolism; Respiratory; Skeletal; Skin</t>
        </is>
      </c>
      <c r="L41" s="8" t="n">
        <v>107</v>
      </c>
      <c r="M41" s="8" t="inlineStr">
        <is>
          <t>HP:0003774; HP:0000010; HP:0001696; HP:0001651; HP:0003155; HP:0000083; HP:0005562; HP:0002240; HP:0011800; HP:0030948; HP:0006254; HP:0000822; HP:0001407; HP:0002900; HP:0000113; HP:0003259; HP:0000952; HP:0000324; HP:0012213; HP:0001997; HP:0001410; HP:0004944; HP:0009717; HP:0006772; HP:0000023; HP:0000074; HP:0012624; HP:0012625; HP:0000093; HP:0012626; HP:0033261; HP:0000003; HP:0000787; HP:0001634; HP:0002089; HP:0005576; HP:0001395; HP:0002040; HP:0001409; HP:0004719; HP:0001944; HP:0001405; HP:0001744; HP:0008659; HP:0001562; HP:0005564; HP:0000107; HP:0001737; HP:0002009; HP:0000105; HP:0002248; HP:0004322; HP:0000097; HP:0000090; HP:0001959; HP:0001712; HP:0000103; HP:0012585; HP:0032948; HP:0005565; HP:0001433; HP:0001396; HP:0001510; HP:0001971; HP:0002612; HP:0002630; HP:0002878; HP:0002902; HP:0004905; HP:0006560; HP:0011040; HP:0011892; HP:0011968; HP:0012202; HP:0100512; HP:0100513; HP:0001541; HP:0001873; HP:0001919; HP:0002239; HP:0002243; HP:0002791; HP:0002884; HP:0006532; HP:0030151; HP:0100520; HP:0000347; HP:0000369; HP:0000457; HP:0002108; HP:0030153; HP:0040064; HP:0100543; HP:0000790; HP:0012591; HP:0012592; HP:0012622; HP:0030157; HP:0000791; HP:0002616; HP:0006557; HP:0008672; HP:0011004; HP:0012207; HP:0012330; HP:0100702; HP:0011760</t>
        </is>
      </c>
      <c r="N41" s="8" t="inlineStr">
        <is>
          <t>No</t>
        </is>
      </c>
      <c r="O41" s="8" t="inlineStr">
        <is>
          <t>Disease family with fewer than 5 entries</t>
        </is>
      </c>
      <c r="P41" s="8" t="n"/>
    </row>
    <row r="42">
      <c r="A42" s="8" t="inlineStr">
        <is>
          <t>CILP_0041</t>
        </is>
      </c>
      <c r="B42" s="8" t="inlineStr">
        <is>
          <t>Biliary, Renal, Neurologic, and Skeletal Syndrome</t>
        </is>
      </c>
      <c r="C42" s="8" t="inlineStr">
        <is>
          <t>BRENS</t>
        </is>
      </c>
      <c r="D42" s="8" t="inlineStr">
        <is>
          <t>619534</t>
        </is>
      </c>
      <c r="E42" s="8" t="inlineStr">
        <is>
          <t>OMIM:619534</t>
        </is>
      </c>
      <c r="F42" s="8" t="inlineStr">
        <is>
          <t>OMIM phenotype entry</t>
        </is>
      </c>
      <c r="G42" s="8" t="inlineStr">
        <is>
          <t>Primary</t>
        </is>
      </c>
      <c r="H42" s="8" t="inlineStr">
        <is>
          <t>Renal-hepatic ciliopathy</t>
        </is>
      </c>
      <c r="I42" s="8" t="inlineStr">
        <is>
          <t>TTC26</t>
        </is>
      </c>
      <c r="J42" s="8" t="inlineStr">
        <is>
          <t>AR</t>
        </is>
      </c>
      <c r="K42" s="8" t="inlineStr">
        <is>
          <t>Abdomen; Eyes; Ears; Cardiovascular; Endocrine; Growth; Genitourinary; Immune system; Head and neck; Limbs; Nervous system; Metabolism; Respiratory; Skeletal; Skin</t>
        </is>
      </c>
      <c r="L42" s="8" t="n">
        <v>103</v>
      </c>
      <c r="M42" s="8" t="inlineStr">
        <is>
          <t>HP:0000365; HP:0001696; HP:0001695; HP:0002783; HP:0004322; HP:0000083; HP:0002020; HP:0003073; HP:0010445; HP:0010442; HP:0004719; HP:0000238; HP:0000873; HP:0031956; HP:0003124; HP:0000490; HP:0002151; HP:0033614; HP:0100259; HP:0007430; HP:0000369; HP:0001612; HP:0000126; HP:0001396; HP:0000582; HP:0010946; HP:0000463; HP:0001395; HP:0001394; HP:0002240; HP:0031964; HP:0040319; HP:0006695; HP:0025116; HP:0001942; HP:0006579; HP:0002410; HP:0006956; HP:0001561; HP:0000232; HP:0001684; HP:0002099; HP:0011622; HP:0010774; HP:0002092; HP:0011344; HP:0001159; HP:0002007; HP:0000589; HP:0001651; HP:0001250; HP:0003155; HP:0001252; HP:0003270; HP:0011579; HP:0001409; HP:0001408; HP:0000316; HP:0003429; HP:0002612; HP:0001643; HP:0002613; HP:0000311; HP:0000952; HP:0001541; HP:0001382; HP:0001263; HP:0011565; HP:0030948; HP:0003281; HP:0031358; HP:0005180; HP:0002908; HP:0000969; HP:0012382; HP:0012383; HP:0002904; HP:0012020; HP:0004927; HP:0001659; HP:0001257; HP:0001655; HP:0003774; HP:0010627; HP:0000023; HP:0012408; HP:0033542; HP:0002040; HP:0033149; HP:0010068; HP:0012766; HP:0001508; HP:0001629; HP:0000938; HP:0006892; HP:0000411; HP:0001744; HP:0004976; HP:0000276; HP:0005280; HP:0011304; HP:0002205; HP:0003259</t>
        </is>
      </c>
      <c r="N42" s="8" t="inlineStr">
        <is>
          <t>No</t>
        </is>
      </c>
      <c r="O42" s="8" t="inlineStr">
        <is>
          <t>Disease family with fewer than 5 entries</t>
        </is>
      </c>
      <c r="P42" s="8" t="n"/>
    </row>
    <row r="43">
      <c r="A43" s="8" t="inlineStr">
        <is>
          <t>CILP_0042</t>
        </is>
      </c>
      <c r="B43" s="8" t="inlineStr">
        <is>
          <t>Birt-Hogg-Dubé Syndrome</t>
        </is>
      </c>
      <c r="C43" s="8" t="inlineStr">
        <is>
          <t>BHD</t>
        </is>
      </c>
      <c r="D43" s="8" t="inlineStr">
        <is>
          <t>135150</t>
        </is>
      </c>
      <c r="E43" s="8" t="inlineStr">
        <is>
          <t>OMIM:135150</t>
        </is>
      </c>
      <c r="F43" s="8" t="inlineStr">
        <is>
          <t>OMIM phenotype entry</t>
        </is>
      </c>
      <c r="G43" s="8" t="inlineStr">
        <is>
          <t>Motile</t>
        </is>
      </c>
      <c r="H43" s="8" t="inlineStr">
        <is>
          <t>General / needs curation</t>
        </is>
      </c>
      <c r="I43" s="8" t="inlineStr">
        <is>
          <t>FLCN</t>
        </is>
      </c>
      <c r="J43" s="8" t="inlineStr">
        <is>
          <t>AD</t>
        </is>
      </c>
      <c r="K43" s="8" t="inlineStr">
        <is>
          <t>Abdomen; Genitourinary; Respiratory; Skeletal; Skin</t>
        </is>
      </c>
      <c r="L43" s="8" t="n">
        <v>13</v>
      </c>
      <c r="M43" s="8" t="inlineStr">
        <is>
          <t>HP:0001012; HP:0030436; HP:0003003; HP:0030255; HP:0005584; HP:0032227; HP:0032228; HP:0000107; HP:0002108; HP:0007620; HP:0005948; HP:0009726; HP:0006755</t>
        </is>
      </c>
      <c r="N43" s="8" t="inlineStr">
        <is>
          <t>No</t>
        </is>
      </c>
      <c r="O43" s="8" t="inlineStr">
        <is>
          <t>Disease family with fewer than 5 entries</t>
        </is>
      </c>
      <c r="P43" s="8" t="n"/>
    </row>
    <row r="44">
      <c r="A44" s="8" t="inlineStr">
        <is>
          <t>CILP_0043</t>
        </is>
      </c>
      <c r="B44" s="8" t="inlineStr">
        <is>
          <t>COACH Syndrome</t>
        </is>
      </c>
      <c r="C44" s="8" t="inlineStr">
        <is>
          <t>COACH1</t>
        </is>
      </c>
      <c r="D44" s="8" t="inlineStr">
        <is>
          <t>216360</t>
        </is>
      </c>
      <c r="E44" s="8" t="inlineStr">
        <is>
          <t>OMIM:216360</t>
        </is>
      </c>
      <c r="F44" s="8" t="inlineStr">
        <is>
          <t>OMIM phenotype entry</t>
        </is>
      </c>
      <c r="G44" s="8" t="inlineStr">
        <is>
          <t>Primary</t>
        </is>
      </c>
      <c r="H44" s="8" t="inlineStr">
        <is>
          <t>Neurodevelopmental ciliopathy</t>
        </is>
      </c>
      <c r="I44" s="8" t="inlineStr">
        <is>
          <t>TMEM67</t>
        </is>
      </c>
      <c r="J44" s="8" t="inlineStr">
        <is>
          <t>AR</t>
        </is>
      </c>
      <c r="K44" s="8" t="inlineStr">
        <is>
          <t>Abdomen; Eyes; Cardiovascular; Growth; Genitourinary; Immune system; Head and neck; Limbs; Nervous system; Metabolism; Skeletal</t>
        </is>
      </c>
      <c r="L44" s="8" t="n">
        <v>41</v>
      </c>
      <c r="M44" s="8" t="inlineStr">
        <is>
          <t>HP:0003774; HP:0002342; HP:0000463; HP:0000122; HP:0001332; HP:0001250; HP:0002085; HP:0001252; HP:0001395; HP:0001394; HP:0002240; HP:0001251; HP:0001290; HP:0002040; HP:0002084; HP:0033149; HP:0001409; HP:0000639; HP:0000316; HP:0000657; HP:0002617; HP:0002419; HP:0000311; HP:0002910; HP:0001744; HP:0008659; HP:0001347; HP:0000154; HP:0001320; HP:0001162; HP:0006817; HP:0001263; HP:0000090; HP:0000508; HP:0000822; HP:0001438; HP:0000107; HP:0000543; HP:0001257; HP:0001510; HP:0000589</t>
        </is>
      </c>
      <c r="N44" s="8" t="inlineStr">
        <is>
          <t>No</t>
        </is>
      </c>
      <c r="O44" s="8" t="inlineStr">
        <is>
          <t>Disease family with fewer than 5 entries</t>
        </is>
      </c>
      <c r="P44" s="8" t="n"/>
    </row>
    <row r="45">
      <c r="A45" s="8" t="inlineStr">
        <is>
          <t>CILP_0044</t>
        </is>
      </c>
      <c r="B45" s="8" t="inlineStr">
        <is>
          <t>COACH Syndrome</t>
        </is>
      </c>
      <c r="C45" s="8" t="inlineStr">
        <is>
          <t>COACH2</t>
        </is>
      </c>
      <c r="D45" s="8" t="inlineStr">
        <is>
          <t>619111</t>
        </is>
      </c>
      <c r="E45" s="8" t="inlineStr">
        <is>
          <t>OMIM:619111</t>
        </is>
      </c>
      <c r="F45" s="8" t="inlineStr">
        <is>
          <t>OMIM phenotype entry</t>
        </is>
      </c>
      <c r="G45" s="8" t="inlineStr">
        <is>
          <t>Primary</t>
        </is>
      </c>
      <c r="H45" s="8" t="inlineStr">
        <is>
          <t>Neurodevelopmental ciliopathy</t>
        </is>
      </c>
      <c r="I45" s="8" t="inlineStr">
        <is>
          <t>CC2D2A</t>
        </is>
      </c>
      <c r="J45" s="8" t="inlineStr">
        <is>
          <t>AR</t>
        </is>
      </c>
      <c r="K45" s="8" t="inlineStr">
        <is>
          <t>Abdomen; Eyes; Cardiovascular; Genitourinary; Nervous system; Metabolism; Respiratory</t>
        </is>
      </c>
      <c r="L45" s="8" t="n">
        <v>18</v>
      </c>
      <c r="M45" s="8" t="inlineStr">
        <is>
          <t>HP:0001320; HP:0000486; HP:0001395; HP:0001274; HP:0001263; HP:0006580; HP:0004719; HP:0000657; HP:0000822; HP:0005949; HP:0000238; HP:0002419; HP:0002612; HP:0002910; HP:0000589; HP:0000567; HP:0003259; HP:0001249</t>
        </is>
      </c>
      <c r="N45" s="8" t="inlineStr">
        <is>
          <t>No</t>
        </is>
      </c>
      <c r="O45" s="8" t="inlineStr">
        <is>
          <t>Disease family with fewer than 5 entries</t>
        </is>
      </c>
      <c r="P45" s="8" t="n"/>
    </row>
    <row r="46">
      <c r="A46" s="8" t="inlineStr">
        <is>
          <t>CILP_0045</t>
        </is>
      </c>
      <c r="B46" s="8" t="inlineStr">
        <is>
          <t>COACH Syndrome</t>
        </is>
      </c>
      <c r="C46" s="8" t="inlineStr">
        <is>
          <t>COACH3</t>
        </is>
      </c>
      <c r="D46" s="8" t="inlineStr">
        <is>
          <t>619113</t>
        </is>
      </c>
      <c r="E46" s="8" t="inlineStr">
        <is>
          <t>OMIM:619113</t>
        </is>
      </c>
      <c r="F46" s="8" t="inlineStr">
        <is>
          <t>OMIM phenotype entry</t>
        </is>
      </c>
      <c r="G46" s="8" t="inlineStr">
        <is>
          <t>Primary</t>
        </is>
      </c>
      <c r="H46" s="8" t="inlineStr">
        <is>
          <t>Neurodevelopmental ciliopathy</t>
        </is>
      </c>
      <c r="I46" s="8" t="inlineStr">
        <is>
          <t>RPGRIP1L</t>
        </is>
      </c>
      <c r="J46" s="8" t="inlineStr">
        <is>
          <t>AR</t>
        </is>
      </c>
      <c r="K46" s="8" t="inlineStr">
        <is>
          <t>Abdomen; Eyes; Genitourinary; Nervous system; Skeletal</t>
        </is>
      </c>
      <c r="L46" s="8" t="n">
        <v>16</v>
      </c>
      <c r="M46" s="8" t="inlineStr">
        <is>
          <t>HP:0032945; HP:0003774; HP:0000486; HP:0032948; HP:0000083; HP:0001263; HP:0001251; HP:0001290; HP:0000090; HP:0000092; HP:0006580; HP:0001903; HP:0000729; HP:0000508; HP:0000657; HP:0002419</t>
        </is>
      </c>
      <c r="N46" s="8" t="inlineStr">
        <is>
          <t>No</t>
        </is>
      </c>
      <c r="O46" s="8" t="inlineStr">
        <is>
          <t>Disease family with fewer than 5 entries</t>
        </is>
      </c>
      <c r="P46" s="8" t="n"/>
    </row>
    <row r="47">
      <c r="A47" s="8" t="inlineStr">
        <is>
          <t>CILP_0046</t>
        </is>
      </c>
      <c r="B47" s="8" t="inlineStr">
        <is>
          <t>COACH Syndrome</t>
        </is>
      </c>
      <c r="C47" s="8" t="inlineStr">
        <is>
          <t>COACH</t>
        </is>
      </c>
      <c r="D47" s="8" t="n"/>
      <c r="E47" s="8" t="inlineStr">
        <is>
          <t>OMIM:216360; OMIM:619111; OMIM:619113</t>
        </is>
      </c>
      <c r="F47" s="8" t="inlineStr">
        <is>
          <t>Family-level record (combined OMIM entries)</t>
        </is>
      </c>
      <c r="G47" s="8" t="inlineStr">
        <is>
          <t>Primary</t>
        </is>
      </c>
      <c r="H47" s="8" t="inlineStr">
        <is>
          <t>Neurodevelopmental ciliopathy</t>
        </is>
      </c>
      <c r="I47" s="8" t="inlineStr">
        <is>
          <t>PMM2</t>
        </is>
      </c>
      <c r="J47" s="8" t="inlineStr">
        <is>
          <t>AR</t>
        </is>
      </c>
      <c r="K47" s="8" t="inlineStr">
        <is>
          <t>Abdomen; Eyes; Cardiovascular; Growth; Genitourinary; Immune system; Head and neck; Limbs; Nervous system; Metabolism; Respiratory; Skeletal</t>
        </is>
      </c>
      <c r="L47" s="8" t="n">
        <v>57</v>
      </c>
      <c r="M47" s="8" t="inlineStr">
        <is>
          <t>HP:0003774; HP:0002342; HP:0000463; HP:0000122; HP:0001332; HP:0001250; HP:0002085; HP:0001252; HP:0001395; HP:0001394; HP:0002240; HP:0001251; HP:0001290; HP:0002040; HP:0002084; HP:0033149; HP:0001409; HP:0000639; HP:0000316; HP:0000657; HP:0002617; HP:0002419; HP:0000311; HP:0002910; HP:0001744; HP:0008659; HP:0001347; HP:0000154; HP:0001320; HP:0001162; HP:0006817; HP:0001263; HP:0000090; HP:0000508; HP:0000822; HP:0001438; HP:0000107; HP:0000543; HP:0001257; HP:0001510; HP:0000589; HP:0000486; HP:0001274; HP:0006580; HP:0004719; HP:0005949; HP:0000238; HP:0002612; HP:0000567; HP:0003259; HP:0001249; HP:0032945; HP:0032948; HP:0000083; HP:0000092; HP:0001903; HP:0000729</t>
        </is>
      </c>
      <c r="N47" s="8" t="inlineStr">
        <is>
          <t>No</t>
        </is>
      </c>
      <c r="O47" s="8" t="inlineStr">
        <is>
          <t>Disease family with fewer than 5 entries</t>
        </is>
      </c>
      <c r="P47" s="8" t="n"/>
    </row>
    <row r="48">
      <c r="A48" s="8" t="inlineStr">
        <is>
          <t>CILP_0047</t>
        </is>
      </c>
      <c r="B48" s="8" t="inlineStr">
        <is>
          <t>Caroli Disease</t>
        </is>
      </c>
      <c r="C48" s="8" t="inlineStr">
        <is>
          <t>CD</t>
        </is>
      </c>
      <c r="D48" s="8" t="inlineStr">
        <is>
          <t>600643</t>
        </is>
      </c>
      <c r="E48" s="8" t="inlineStr">
        <is>
          <t>ORPHA:53035</t>
        </is>
      </c>
      <c r="F48" s="8" t="inlineStr">
        <is>
          <t>Orphanet entry (matched by disease name)</t>
        </is>
      </c>
      <c r="G48" s="8" t="inlineStr">
        <is>
          <t>Primary</t>
        </is>
      </c>
      <c r="H48" s="8" t="inlineStr">
        <is>
          <t>Renal-hepatic ciliopathy</t>
        </is>
      </c>
      <c r="I48" s="8" t="inlineStr">
        <is>
          <t>PKHD1</t>
        </is>
      </c>
      <c r="J48" s="8" t="inlineStr">
        <is>
          <t>Autosomal recessive</t>
        </is>
      </c>
      <c r="K48" s="8" t="inlineStr">
        <is>
          <t>Abdomen; Cardiovascular; Growth; Genitourinary; Immune system; Head and neck; Metabolism; Skin</t>
        </is>
      </c>
      <c r="L48" s="8" t="n">
        <v>31</v>
      </c>
      <c r="M48" s="8" t="inlineStr">
        <is>
          <t>HP:0001396; HP:0000952; HP:0001406; HP:0002027; HP:0002908; HP:0003155; HP:0030151; HP:0030948; HP:0000113; HP:0000989; HP:0001081; HP:0001394; HP:0001541; HP:0001744; HP:0001824; HP:0001945; HP:0001974; HP:0002013; HP:0002018; HP:0002039; HP:0002040; HP:0002240; HP:0025143; HP:0031964; HP:0032106; HP:0032545; HP:0001395; HP:0001409; HP:0002613; HP:0030153; HP:0100523</t>
        </is>
      </c>
      <c r="N48" s="8" t="inlineStr">
        <is>
          <t>No</t>
        </is>
      </c>
      <c r="O48" s="8" t="inlineStr">
        <is>
          <t>Disease family with fewer than 5 entries</t>
        </is>
      </c>
      <c r="P48" s="8" t="n"/>
    </row>
    <row r="49">
      <c r="A49" s="8" t="inlineStr">
        <is>
          <t>CILP_0048</t>
        </is>
      </c>
      <c r="B49" s="8" t="inlineStr">
        <is>
          <t>Carpenter Syndrome</t>
        </is>
      </c>
      <c r="C49" s="8" t="inlineStr">
        <is>
          <t>CRPT1</t>
        </is>
      </c>
      <c r="D49" s="8" t="inlineStr">
        <is>
          <t>201000</t>
        </is>
      </c>
      <c r="E49" s="8" t="inlineStr">
        <is>
          <t>OMIM:201000</t>
        </is>
      </c>
      <c r="F49" s="8" t="inlineStr">
        <is>
          <t>OMIM phenotype entry</t>
        </is>
      </c>
      <c r="G49" s="8" t="inlineStr">
        <is>
          <t>Primary</t>
        </is>
      </c>
      <c r="H49" s="8" t="inlineStr">
        <is>
          <t>Skeletal ciliopathy</t>
        </is>
      </c>
      <c r="I49" s="8" t="inlineStr">
        <is>
          <t>RAB23</t>
        </is>
      </c>
      <c r="J49" s="8" t="inlineStr">
        <is>
          <t>AR</t>
        </is>
      </c>
      <c r="K49" s="8" t="inlineStr">
        <is>
          <t>Abdomen; Eyes; Ears; Cardiovascular; Endocrine; Growth; Genitourinary; Immune system; Head and neck; Limbs; Nervous system; Skeletal; Skin</t>
        </is>
      </c>
      <c r="L49" s="8" t="n">
        <v>67</v>
      </c>
      <c r="M49" s="8" t="inlineStr">
        <is>
          <t>HP:0000286; HP:0007759; HP:0001770; HP:0004322; HP:0004443; HP:0004442; HP:0000482; HP:0004440; HP:0010093; HP:0006397; HP:0002857; HP:0001643; HP:0001841; HP:0001642; HP:0001840; HP:0001249; HP:0009608; HP:0002673; HP:0003241; HP:0004097; HP:0011800; HP:0012385; HP:0000407; HP:0009891; HP:0001537; HP:0000327; HP:0002869; HP:0000648; HP:0001539; HP:0000405; HP:0004209; HP:0002700; HP:0000960; HP:0000248; HP:0000369; HP:0000126; HP:0006349; HP:0004467; HP:0001156; HP:0003298; HP:0010194; HP:0001629; HP:0010275; HP:0001669; HP:0001748; HP:0009843; HP:0000218; HP:0006335; HP:0000377; HP:0002059; HP:0002650; HP:0002970; HP:0001162; HP:0000072; HP:0000470; HP:0000272; HP:0003182; HP:0005280; HP:0007370; HP:0000826; HP:0009473; HP:0000506; HP:0001636; HP:0001631; HP:0000028; HP:0000347; HP:0001513</t>
        </is>
      </c>
      <c r="N49" s="8" t="inlineStr">
        <is>
          <t>No</t>
        </is>
      </c>
      <c r="O49" s="8" t="inlineStr">
        <is>
          <t>Disease family with fewer than 5 entries</t>
        </is>
      </c>
      <c r="P49" s="8" t="n"/>
    </row>
    <row r="50">
      <c r="A50" s="8" t="inlineStr">
        <is>
          <t>CILP_0049</t>
        </is>
      </c>
      <c r="B50" s="8" t="inlineStr">
        <is>
          <t>Carpenter Syndrome</t>
        </is>
      </c>
      <c r="C50" s="8" t="inlineStr">
        <is>
          <t>CRPT2</t>
        </is>
      </c>
      <c r="D50" s="8" t="inlineStr">
        <is>
          <t>614976</t>
        </is>
      </c>
      <c r="E50" s="8" t="inlineStr">
        <is>
          <t>OMIM:614976</t>
        </is>
      </c>
      <c r="F50" s="8" t="inlineStr">
        <is>
          <t>OMIM phenotype entry</t>
        </is>
      </c>
      <c r="G50" s="8" t="inlineStr">
        <is>
          <t>Primary</t>
        </is>
      </c>
      <c r="H50" s="8" t="inlineStr">
        <is>
          <t>Skeletal ciliopathy</t>
        </is>
      </c>
      <c r="I50" s="8" t="inlineStr">
        <is>
          <t>MEGF8</t>
        </is>
      </c>
      <c r="J50" s="8" t="inlineStr">
        <is>
          <t>AR</t>
        </is>
      </c>
      <c r="K50" s="8" t="inlineStr">
        <is>
          <t>Abdomen; Eyes; Ears; Cardiovascular; Growth; Genitourinary; Head and neck; Limbs; Nervous system; Skeletal; Skin</t>
        </is>
      </c>
      <c r="L50" s="8" t="n">
        <v>73</v>
      </c>
      <c r="M50" s="8" t="inlineStr">
        <is>
          <t>HP:0000286; HP:0001696; HP:0000243; HP:0001651; HP:0001252; HP:0045075; HP:0011220; HP:0000954; HP:0000316; HP:0002812; HP:0001643; HP:0000278; HP:0000358; HP:0002553; HP:0000054; HP:0001263; HP:0011927; HP:0000294; HP:0011800; HP:0010554; HP:0010239; HP:0005180; HP:0100259; HP:0012385; HP:0006380; HP:0100258; HP:0009891; HP:0000407; HP:0001537; HP:0000767; HP:0002705; HP:0000689; HP:0000768; HP:0004209; HP:0009933; HP:0008689; HP:0000369; HP:0000248; HP:0000049; HP:0000582; HP:0000263; HP:0001234; HP:0000189; HP:0000343; HP:0001156; HP:0000463; HP:0002121; HP:0001669; HP:0000579; HP:0000218; HP:0006136; HP:0006610; HP:0000411; HP:0002557; HP:0002558; HP:0000973; HP:0001363; HP:0000670; HP:0000431; HP:0001762; HP:0000475; HP:0031936; HP:0000592; HP:0000470; HP:0005280; HP:0011304; HP:0009110; HP:0007651; HP:0002007; HP:0000465; HP:0001631; HP:0001513; HP:0000028</t>
        </is>
      </c>
      <c r="N50" s="8" t="inlineStr">
        <is>
          <t>No</t>
        </is>
      </c>
      <c r="O50" s="8" t="inlineStr">
        <is>
          <t>Disease family with fewer than 5 entries</t>
        </is>
      </c>
      <c r="P50" s="8" t="n"/>
    </row>
    <row r="51">
      <c r="A51" s="8" t="inlineStr">
        <is>
          <t>CILP_0050</t>
        </is>
      </c>
      <c r="B51" s="8" t="inlineStr">
        <is>
          <t>Complex Lethal Osteochondrodysplasia</t>
        </is>
      </c>
      <c r="C51" s="8" t="inlineStr">
        <is>
          <t>OCLSBG</t>
        </is>
      </c>
      <c r="D51" s="8" t="inlineStr">
        <is>
          <t>616897</t>
        </is>
      </c>
      <c r="E51" s="8" t="inlineStr">
        <is>
          <t>OMIM:616897</t>
        </is>
      </c>
      <c r="F51" s="8" t="inlineStr">
        <is>
          <t>OMIM phenotype entry</t>
        </is>
      </c>
      <c r="G51" s="8" t="inlineStr">
        <is>
          <t>Primary</t>
        </is>
      </c>
      <c r="H51" s="8" t="inlineStr">
        <is>
          <t>Skeletal ciliopathy</t>
        </is>
      </c>
      <c r="I51" s="8" t="inlineStr">
        <is>
          <t>TAPT1</t>
        </is>
      </c>
      <c r="J51" s="8" t="inlineStr">
        <is>
          <t>AR</t>
        </is>
      </c>
      <c r="K51" s="8" t="inlineStr">
        <is>
          <t>Abdomen; Eyes; Ears; Cardiovascular; Growth; Genitourinary; Head and neck; Limbs; Nervous system; Metabolism; Respiratory; Skeletal</t>
        </is>
      </c>
      <c r="L51" s="8" t="n">
        <v>48</v>
      </c>
      <c r="M51" s="8" t="inlineStr">
        <is>
          <t>HP:0002265; HP:0005257; HP:0001371; HP:0003196; HP:0100333; HP:0031107; HP:0011220; HP:0000316; HP:0000358; HP:0000252; HP:0000054; HP:0000175; HP:0001541; HP:0004331; HP:0001181; HP:0000926; HP:0000047; HP:0000248; HP:0000369; HP:0000126; HP:0005855; HP:0003015; HP:0002202; HP:0002089; HP:0000463; HP:0001195; HP:0003097; HP:0012368; HP:0001629; HP:0000938; HP:0001789; HP:0002119; HP:0000773; HP:0009826; HP:0001561; HP:0000431; HP:0001640; HP:0001321; HP:0000470; HP:0001518; HP:0000506; HP:0001639; HP:0006640; HP:0003978; HP:0001511; HP:0002645; HP:0000465; HP:0000347</t>
        </is>
      </c>
      <c r="N51" s="8" t="inlineStr">
        <is>
          <t>No</t>
        </is>
      </c>
      <c r="O51" s="8" t="inlineStr">
        <is>
          <t>Disease family with fewer than 5 entries</t>
        </is>
      </c>
      <c r="P51" s="8" t="n"/>
    </row>
    <row r="52">
      <c r="A52" s="8" t="inlineStr">
        <is>
          <t>CILP_0051</t>
        </is>
      </c>
      <c r="B52" s="8" t="inlineStr">
        <is>
          <t>Cone-Rod Dystrophy</t>
        </is>
      </c>
      <c r="C52" s="8" t="inlineStr">
        <is>
          <t>CORD2</t>
        </is>
      </c>
      <c r="D52" s="8" t="inlineStr">
        <is>
          <t>120970</t>
        </is>
      </c>
      <c r="E52" s="8" t="inlineStr">
        <is>
          <t>OMIM:120970</t>
        </is>
      </c>
      <c r="F52" s="8" t="inlineStr">
        <is>
          <t>OMIM phenotype entry</t>
        </is>
      </c>
      <c r="G52" s="8" t="inlineStr">
        <is>
          <t>Secondary</t>
        </is>
      </c>
      <c r="H52" s="8" t="inlineStr">
        <is>
          <t>Retinal ciliopathy</t>
        </is>
      </c>
      <c r="I52" s="8" t="inlineStr">
        <is>
          <t>CRX</t>
        </is>
      </c>
      <c r="J52" s="8" t="inlineStr">
        <is>
          <t>AD</t>
        </is>
      </c>
      <c r="K52" s="8" t="inlineStr">
        <is>
          <t>Eyes</t>
        </is>
      </c>
      <c r="L52" s="8" t="n">
        <v>14</v>
      </c>
      <c r="M52" s="8" t="inlineStr">
        <is>
          <t>HP:0001133; HP:0011509; HP:0007737; HP:0000662; HP:0000551; HP:0012508; HP:0000618; HP:0007663; HP:0007994; HP:0000548; HP:0000603; HP:0007722; HP:0000512; HP:0000533</t>
        </is>
      </c>
      <c r="N52" s="8" t="inlineStr">
        <is>
          <t>Yes</t>
        </is>
      </c>
      <c r="O52" s="8" t="n"/>
      <c r="P52" s="8" t="n"/>
    </row>
    <row r="53">
      <c r="A53" s="8" t="inlineStr">
        <is>
          <t>CILP_0052</t>
        </is>
      </c>
      <c r="B53" s="8" t="inlineStr">
        <is>
          <t>Cone-Rod Dystrophy</t>
        </is>
      </c>
      <c r="C53" s="8" t="inlineStr">
        <is>
          <t>CORDX3</t>
        </is>
      </c>
      <c r="D53" s="8" t="inlineStr">
        <is>
          <t>300476</t>
        </is>
      </c>
      <c r="E53" s="8" t="inlineStr">
        <is>
          <t>OMIM:300476</t>
        </is>
      </c>
      <c r="F53" s="8" t="inlineStr">
        <is>
          <t>OMIM phenotype entry</t>
        </is>
      </c>
      <c r="G53" s="8" t="inlineStr">
        <is>
          <t>Secondary</t>
        </is>
      </c>
      <c r="H53" s="8" t="inlineStr">
        <is>
          <t>Retinal ciliopathy</t>
        </is>
      </c>
      <c r="I53" s="8" t="inlineStr">
        <is>
          <t>CACNA1F</t>
        </is>
      </c>
      <c r="J53" s="8" t="inlineStr">
        <is>
          <t>XLR</t>
        </is>
      </c>
      <c r="K53" s="8" t="inlineStr">
        <is>
          <t>Eyes; Nervous system</t>
        </is>
      </c>
      <c r="L53" s="8" t="n">
        <v>14</v>
      </c>
      <c r="M53" s="8" t="inlineStr">
        <is>
          <t>HP:0000483; HP:0000541; HP:0000551; HP:0030825; HP:0000639; HP:0008002; HP:0008323; HP:0000613; HP:0007663; HP:0000505; HP:0000603; HP:0000548; HP:0000543; HP:0000545</t>
        </is>
      </c>
      <c r="N53" s="8" t="inlineStr">
        <is>
          <t>Yes</t>
        </is>
      </c>
      <c r="O53" s="8" t="n"/>
      <c r="P53" s="8" t="n"/>
    </row>
    <row r="54">
      <c r="A54" s="8" t="inlineStr">
        <is>
          <t>CILP_0053</t>
        </is>
      </c>
      <c r="B54" s="8" t="inlineStr">
        <is>
          <t>Cone-Rod Dystrophy</t>
        </is>
      </c>
      <c r="C54" s="8" t="inlineStr">
        <is>
          <t>CORDX1</t>
        </is>
      </c>
      <c r="D54" s="8" t="inlineStr">
        <is>
          <t>304020</t>
        </is>
      </c>
      <c r="E54" s="8" t="inlineStr">
        <is>
          <t>OMIM:304020</t>
        </is>
      </c>
      <c r="F54" s="8" t="inlineStr">
        <is>
          <t>OMIM phenotype entry</t>
        </is>
      </c>
      <c r="G54" s="8" t="inlineStr">
        <is>
          <t>Secondary</t>
        </is>
      </c>
      <c r="H54" s="8" t="inlineStr">
        <is>
          <t>Retinal ciliopathy</t>
        </is>
      </c>
      <c r="I54" s="8" t="inlineStr">
        <is>
          <t>RPGR</t>
        </is>
      </c>
      <c r="J54" s="8" t="inlineStr">
        <is>
          <t>XL</t>
        </is>
      </c>
      <c r="K54" s="8" t="inlineStr">
        <is>
          <t>Eyes; Nervous system</t>
        </is>
      </c>
      <c r="L54" s="8" t="n">
        <v>10</v>
      </c>
      <c r="M54" s="8" t="inlineStr">
        <is>
          <t>HP:0007814; HP:0030632; HP:0000662; HP:0000551; HP:0000639; HP:0000613; HP:0007663; HP:0000505; HP:0007722; HP:0000545</t>
        </is>
      </c>
      <c r="N54" s="8" t="inlineStr">
        <is>
          <t>Yes</t>
        </is>
      </c>
      <c r="O54" s="8" t="n"/>
      <c r="P54" s="8" t="n"/>
    </row>
    <row r="55">
      <c r="A55" s="8" t="inlineStr">
        <is>
          <t>CILP_0054</t>
        </is>
      </c>
      <c r="B55" s="8" t="inlineStr">
        <is>
          <t>Cone-Rod Dystrophy</t>
        </is>
      </c>
      <c r="C55" s="8" t="inlineStr">
        <is>
          <t>CORD5</t>
        </is>
      </c>
      <c r="D55" s="8" t="inlineStr">
        <is>
          <t>600977</t>
        </is>
      </c>
      <c r="E55" s="8" t="inlineStr">
        <is>
          <t>OMIM:600977</t>
        </is>
      </c>
      <c r="F55" s="8" t="inlineStr">
        <is>
          <t>OMIM phenotype entry</t>
        </is>
      </c>
      <c r="G55" s="8" t="inlineStr">
        <is>
          <t>Secondary</t>
        </is>
      </c>
      <c r="H55" s="8" t="inlineStr">
        <is>
          <t>Retinal ciliopathy</t>
        </is>
      </c>
      <c r="I55" s="8" t="inlineStr">
        <is>
          <t>PITPNM3</t>
        </is>
      </c>
      <c r="J55" s="8" t="inlineStr">
        <is>
          <t>AD</t>
        </is>
      </c>
      <c r="K55" s="8" t="inlineStr">
        <is>
          <t>Eyes; Nervous system</t>
        </is>
      </c>
      <c r="L55" s="8" t="n">
        <v>7</v>
      </c>
      <c r="M55" s="8" t="inlineStr">
        <is>
          <t>HP:0007814; HP:0000551; HP:0000608; HP:0000613; HP:0007663; HP:0000548; HP:0000603</t>
        </is>
      </c>
      <c r="N55" s="8" t="inlineStr">
        <is>
          <t>Yes</t>
        </is>
      </c>
      <c r="O55" s="8" t="n"/>
      <c r="P55" s="8" t="n"/>
    </row>
    <row r="56">
      <c r="A56" s="8" t="inlineStr">
        <is>
          <t>CILP_0055</t>
        </is>
      </c>
      <c r="B56" s="8" t="inlineStr">
        <is>
          <t>Cone-Rod Dystrophy</t>
        </is>
      </c>
      <c r="C56" s="8" t="inlineStr">
        <is>
          <t>CORD6</t>
        </is>
      </c>
      <c r="D56" s="8" t="inlineStr">
        <is>
          <t>601777</t>
        </is>
      </c>
      <c r="E56" s="8" t="inlineStr">
        <is>
          <t>OMIM:601777</t>
        </is>
      </c>
      <c r="F56" s="8" t="inlineStr">
        <is>
          <t>OMIM phenotype entry</t>
        </is>
      </c>
      <c r="G56" s="8" t="inlineStr">
        <is>
          <t>Secondary</t>
        </is>
      </c>
      <c r="H56" s="8" t="inlineStr">
        <is>
          <t>Retinal ciliopathy</t>
        </is>
      </c>
      <c r="I56" s="8" t="inlineStr">
        <is>
          <t>GUCY2D</t>
        </is>
      </c>
      <c r="J56" s="8" t="inlineStr">
        <is>
          <t>AR; AD; AGE_RELATED_ONSET</t>
        </is>
      </c>
      <c r="K56" s="8" t="inlineStr">
        <is>
          <t>Eyes; Cardiovascular; Nervous system</t>
        </is>
      </c>
      <c r="L56" s="8" t="n">
        <v>13</v>
      </c>
      <c r="M56" s="8" t="inlineStr">
        <is>
          <t>HP:0007737; HP:0000662; HP:0012047; HP:0000639; HP:0000613; HP:0007663; HP:0007641; HP:0007994; HP:0007675; HP:0000548; HP:0007401; HP:0007843; HP:0000533</t>
        </is>
      </c>
      <c r="N56" s="8" t="inlineStr">
        <is>
          <t>Yes</t>
        </is>
      </c>
      <c r="O56" s="8" t="n"/>
      <c r="P56" s="8" t="n"/>
    </row>
    <row r="57">
      <c r="A57" s="8" t="inlineStr">
        <is>
          <t>CILP_0056</t>
        </is>
      </c>
      <c r="B57" s="8" t="inlineStr">
        <is>
          <t>Cone-Rod Dystrophy</t>
        </is>
      </c>
      <c r="C57" s="8" t="inlineStr">
        <is>
          <t>CORD14</t>
        </is>
      </c>
      <c r="D57" s="8" t="inlineStr">
        <is>
          <t>602093</t>
        </is>
      </c>
      <c r="E57" s="8" t="inlineStr">
        <is>
          <t>OMIM:602093</t>
        </is>
      </c>
      <c r="F57" s="8" t="inlineStr">
        <is>
          <t>OMIM phenotype entry</t>
        </is>
      </c>
      <c r="G57" s="8" t="inlineStr">
        <is>
          <t>Secondary</t>
        </is>
      </c>
      <c r="H57" s="8" t="inlineStr">
        <is>
          <t>Retinal ciliopathy</t>
        </is>
      </c>
      <c r="I57" s="8" t="inlineStr">
        <is>
          <t>GUCA1A</t>
        </is>
      </c>
      <c r="J57" s="8" t="inlineStr">
        <is>
          <t>AD</t>
        </is>
      </c>
      <c r="K57" s="8" t="inlineStr">
        <is>
          <t>Eyes; Nervous system</t>
        </is>
      </c>
      <c r="L57" s="8" t="n">
        <v>5</v>
      </c>
      <c r="M57" s="8" t="inlineStr">
        <is>
          <t>HP:0000529; HP:0000613; HP:0007663; HP:0000548; HP:0007401</t>
        </is>
      </c>
      <c r="N57" s="8" t="inlineStr">
        <is>
          <t>Yes</t>
        </is>
      </c>
      <c r="O57" s="8" t="n"/>
      <c r="P57" s="8" t="n"/>
    </row>
    <row r="58">
      <c r="A58" s="8" t="inlineStr">
        <is>
          <t>CILP_0057</t>
        </is>
      </c>
      <c r="B58" s="8" t="inlineStr">
        <is>
          <t>Cone-Rod Dystrophy</t>
        </is>
      </c>
      <c r="C58" s="8" t="inlineStr">
        <is>
          <t>CORD7</t>
        </is>
      </c>
      <c r="D58" s="8" t="inlineStr">
        <is>
          <t>603649</t>
        </is>
      </c>
      <c r="E58" s="8" t="inlineStr">
        <is>
          <t>OMIM:603649</t>
        </is>
      </c>
      <c r="F58" s="8" t="inlineStr">
        <is>
          <t>OMIM phenotype entry</t>
        </is>
      </c>
      <c r="G58" s="8" t="inlineStr">
        <is>
          <t>Secondary</t>
        </is>
      </c>
      <c r="H58" s="8" t="inlineStr">
        <is>
          <t>Retinal ciliopathy</t>
        </is>
      </c>
      <c r="I58" s="8" t="inlineStr">
        <is>
          <t>RIMS1</t>
        </is>
      </c>
      <c r="J58" s="8" t="inlineStr">
        <is>
          <t>AD</t>
        </is>
      </c>
      <c r="K58" s="8" t="inlineStr">
        <is>
          <t>Eyes</t>
        </is>
      </c>
      <c r="L58" s="8" t="n">
        <v>6</v>
      </c>
      <c r="M58" s="8" t="inlineStr">
        <is>
          <t>HP:0012045; HP:0000551; HP:0000505; HP:0000548; HP:0007401; HP:0011504</t>
        </is>
      </c>
      <c r="N58" s="8" t="inlineStr">
        <is>
          <t>Yes</t>
        </is>
      </c>
      <c r="O58" s="8" t="n"/>
      <c r="P58" s="8" t="n"/>
    </row>
    <row r="59">
      <c r="A59" s="8" t="inlineStr">
        <is>
          <t>CILP_0058</t>
        </is>
      </c>
      <c r="B59" s="8" t="inlineStr">
        <is>
          <t>Cone-Rod Dystrophy</t>
        </is>
      </c>
      <c r="C59" s="8" t="inlineStr">
        <is>
          <t>CORD3</t>
        </is>
      </c>
      <c r="D59" s="8" t="inlineStr">
        <is>
          <t>604116</t>
        </is>
      </c>
      <c r="E59" s="8" t="inlineStr">
        <is>
          <t>OMIM:604116</t>
        </is>
      </c>
      <c r="F59" s="8" t="inlineStr">
        <is>
          <t>OMIM phenotype entry</t>
        </is>
      </c>
      <c r="G59" s="8" t="inlineStr">
        <is>
          <t>Secondary</t>
        </is>
      </c>
      <c r="H59" s="8" t="inlineStr">
        <is>
          <t>Retinal ciliopathy</t>
        </is>
      </c>
      <c r="I59" s="8" t="inlineStr">
        <is>
          <t>ABCA4</t>
        </is>
      </c>
      <c r="J59" s="8" t="inlineStr">
        <is>
          <t>AR</t>
        </is>
      </c>
      <c r="K59" s="8" t="inlineStr">
        <is>
          <t>Eyes; Cardiovascular</t>
        </is>
      </c>
      <c r="L59" s="8" t="n">
        <v>10</v>
      </c>
      <c r="M59" s="8" t="inlineStr">
        <is>
          <t>HP:0000572; HP:0000551; HP:0000580; HP:0011504; HP:0007994; HP:0000548; HP:0000603; HP:0007984; HP:0000543; HP:0007843</t>
        </is>
      </c>
      <c r="N59" s="8" t="inlineStr">
        <is>
          <t>Yes</t>
        </is>
      </c>
      <c r="O59" s="8" t="n"/>
      <c r="P59" s="8" t="n"/>
    </row>
    <row r="60">
      <c r="A60" s="8" t="inlineStr">
        <is>
          <t>CILP_0059</t>
        </is>
      </c>
      <c r="B60" s="8" t="inlineStr">
        <is>
          <t>Cone-Rod Dystrophy</t>
        </is>
      </c>
      <c r="C60" s="8" t="inlineStr">
        <is>
          <t>CORD13</t>
        </is>
      </c>
      <c r="D60" s="8" t="inlineStr">
        <is>
          <t>608194</t>
        </is>
      </c>
      <c r="E60" s="8" t="inlineStr">
        <is>
          <t>OMIM:608194</t>
        </is>
      </c>
      <c r="F60" s="8" t="inlineStr">
        <is>
          <t>OMIM phenotype entry</t>
        </is>
      </c>
      <c r="G60" s="8" t="inlineStr">
        <is>
          <t>Secondary</t>
        </is>
      </c>
      <c r="H60" s="8" t="inlineStr">
        <is>
          <t>Retinal ciliopathy</t>
        </is>
      </c>
      <c r="I60" s="8" t="inlineStr">
        <is>
          <t>RPGRIP1</t>
        </is>
      </c>
      <c r="J60" s="8" t="inlineStr">
        <is>
          <t>AR</t>
        </is>
      </c>
      <c r="K60" s="8" t="inlineStr">
        <is>
          <t>Eyes; Cardiovascular; Nervous system</t>
        </is>
      </c>
      <c r="L60" s="8" t="n">
        <v>25</v>
      </c>
      <c r="M60" s="8" t="inlineStr">
        <is>
          <t>HP:0001133; HP:0007737; HP:0031605; HP:0000662; HP:0000540; HP:0032037; HP:0030515; HP:0000639; HP:0032122; HP:0000613; HP:0007663; HP:0007401; HP:0007787; HP:0007688; HP:0007843; HP:0000512; HP:0000551; HP:0001141; HP:0011505; HP:0000529; HP:0000608; HP:0000505; HP:0000548; HP:0000543; HP:0000545</t>
        </is>
      </c>
      <c r="N60" s="8" t="inlineStr">
        <is>
          <t>Yes</t>
        </is>
      </c>
      <c r="O60" s="8" t="n"/>
      <c r="P60" s="8" t="n"/>
    </row>
    <row r="61">
      <c r="A61" s="8" t="inlineStr">
        <is>
          <t>CILP_0060</t>
        </is>
      </c>
      <c r="B61" s="8" t="inlineStr">
        <is>
          <t>Cone-Rod Dystrophy</t>
        </is>
      </c>
      <c r="C61" s="8" t="inlineStr">
        <is>
          <t>CORD10</t>
        </is>
      </c>
      <c r="D61" s="8" t="inlineStr">
        <is>
          <t>610283</t>
        </is>
      </c>
      <c r="E61" s="8" t="inlineStr">
        <is>
          <t>OMIM:610283</t>
        </is>
      </c>
      <c r="F61" s="8" t="inlineStr">
        <is>
          <t>OMIM phenotype entry</t>
        </is>
      </c>
      <c r="G61" s="8" t="inlineStr">
        <is>
          <t>Secondary</t>
        </is>
      </c>
      <c r="H61" s="8" t="inlineStr">
        <is>
          <t>Retinal ciliopathy</t>
        </is>
      </c>
      <c r="I61" s="8" t="inlineStr">
        <is>
          <t>SEMA4A</t>
        </is>
      </c>
      <c r="J61" s="8" t="inlineStr">
        <is>
          <t>AR</t>
        </is>
      </c>
      <c r="K61" s="8" t="inlineStr">
        <is>
          <t>Eyes; Cardiovascular; Nervous system</t>
        </is>
      </c>
      <c r="L61" s="8" t="n">
        <v>9</v>
      </c>
      <c r="M61" s="8" t="inlineStr">
        <is>
          <t>HP:0009926; HP:0007737; HP:0000662; HP:0000529; HP:0000608; HP:0000613; HP:0007994; HP:0000510; HP:0007843</t>
        </is>
      </c>
      <c r="N61" s="8" t="inlineStr">
        <is>
          <t>Yes</t>
        </is>
      </c>
      <c r="O61" s="8" t="n"/>
      <c r="P61" s="8" t="n"/>
    </row>
    <row r="62">
      <c r="A62" s="8" t="inlineStr">
        <is>
          <t>CILP_0061</t>
        </is>
      </c>
      <c r="B62" s="8" t="inlineStr">
        <is>
          <t>Cone-Rod Dystrophy</t>
        </is>
      </c>
      <c r="C62" s="8" t="inlineStr">
        <is>
          <t>CORD11</t>
        </is>
      </c>
      <c r="D62" s="8" t="inlineStr">
        <is>
          <t>610381</t>
        </is>
      </c>
      <c r="E62" s="8" t="inlineStr">
        <is>
          <t>OMIM:610381</t>
        </is>
      </c>
      <c r="F62" s="8" t="inlineStr">
        <is>
          <t>OMIM phenotype entry</t>
        </is>
      </c>
      <c r="G62" s="8" t="inlineStr">
        <is>
          <t>Secondary</t>
        </is>
      </c>
      <c r="H62" s="8" t="inlineStr">
        <is>
          <t>Retinal ciliopathy</t>
        </is>
      </c>
      <c r="I62" s="8" t="inlineStr">
        <is>
          <t>RAX2</t>
        </is>
      </c>
      <c r="J62" s="8" t="inlineStr">
        <is>
          <t>AD</t>
        </is>
      </c>
      <c r="K62" s="8" t="inlineStr">
        <is>
          <t>Eyes; Nervous system; Skin</t>
        </is>
      </c>
      <c r="L62" s="8" t="n">
        <v>7</v>
      </c>
      <c r="M62" s="8" t="inlineStr">
        <is>
          <t>HP:0007924; HP:0000980; HP:0000608; HP:0000613; HP:0000548; HP:0007401; HP:0011504</t>
        </is>
      </c>
      <c r="N62" s="8" t="inlineStr">
        <is>
          <t>Yes</t>
        </is>
      </c>
      <c r="O62" s="8" t="n"/>
      <c r="P62" s="8" t="n"/>
    </row>
    <row r="63">
      <c r="A63" s="8" t="inlineStr">
        <is>
          <t>CILP_0062</t>
        </is>
      </c>
      <c r="B63" s="8" t="inlineStr">
        <is>
          <t>Cone-Rod Dystrophy</t>
        </is>
      </c>
      <c r="C63" s="8" t="inlineStr">
        <is>
          <t>CORD12</t>
        </is>
      </c>
      <c r="D63" s="8" t="inlineStr">
        <is>
          <t>612657</t>
        </is>
      </c>
      <c r="E63" s="8" t="inlineStr">
        <is>
          <t>OMIM:612657</t>
        </is>
      </c>
      <c r="F63" s="8" t="inlineStr">
        <is>
          <t>OMIM phenotype entry</t>
        </is>
      </c>
      <c r="G63" s="8" t="inlineStr">
        <is>
          <t>Secondary</t>
        </is>
      </c>
      <c r="H63" s="8" t="inlineStr">
        <is>
          <t>Retinal ciliopathy</t>
        </is>
      </c>
      <c r="I63" s="8" t="inlineStr">
        <is>
          <t>PROM1</t>
        </is>
      </c>
      <c r="J63" s="8" t="inlineStr">
        <is>
          <t>AR; AD</t>
        </is>
      </c>
      <c r="K63" s="8" t="inlineStr">
        <is>
          <t>Eyes</t>
        </is>
      </c>
      <c r="L63" s="8" t="n">
        <v>7</v>
      </c>
      <c r="M63" s="8" t="inlineStr">
        <is>
          <t>HP:0000662; HP:0000551; HP:0008323; HP:0007663; HP:0000548; HP:0000603; HP:0011504</t>
        </is>
      </c>
      <c r="N63" s="8" t="inlineStr">
        <is>
          <t>Yes</t>
        </is>
      </c>
      <c r="O63" s="8" t="n"/>
      <c r="P63" s="8" t="n"/>
    </row>
    <row r="64">
      <c r="A64" s="8" t="inlineStr">
        <is>
          <t>CILP_0063</t>
        </is>
      </c>
      <c r="B64" s="8" t="inlineStr">
        <is>
          <t>Cone-Rod Dystrophy</t>
        </is>
      </c>
      <c r="C64" s="8" t="inlineStr">
        <is>
          <t>CORD9</t>
        </is>
      </c>
      <c r="D64" s="8" t="inlineStr">
        <is>
          <t>612775</t>
        </is>
      </c>
      <c r="E64" s="8" t="inlineStr">
        <is>
          <t>OMIM:612775</t>
        </is>
      </c>
      <c r="F64" s="8" t="inlineStr">
        <is>
          <t>OMIM phenotype entry</t>
        </is>
      </c>
      <c r="G64" s="8" t="inlineStr">
        <is>
          <t>Secondary</t>
        </is>
      </c>
      <c r="H64" s="8" t="inlineStr">
        <is>
          <t>Retinal ciliopathy</t>
        </is>
      </c>
      <c r="I64" s="8" t="inlineStr">
        <is>
          <t>ADAM9</t>
        </is>
      </c>
      <c r="J64" s="8" t="inlineStr">
        <is>
          <t>AR</t>
        </is>
      </c>
      <c r="K64" s="8" t="inlineStr">
        <is>
          <t>Eyes</t>
        </is>
      </c>
      <c r="L64" s="8" t="n">
        <v>2</v>
      </c>
      <c r="M64" s="8" t="inlineStr">
        <is>
          <t>HP:0000505; HP:0000548</t>
        </is>
      </c>
      <c r="N64" s="8" t="inlineStr">
        <is>
          <t>Yes</t>
        </is>
      </c>
      <c r="O64" s="8" t="n"/>
      <c r="P64" s="8" t="n"/>
    </row>
    <row r="65">
      <c r="A65" s="8" t="inlineStr">
        <is>
          <t>CILP_0064</t>
        </is>
      </c>
      <c r="B65" s="8" t="inlineStr">
        <is>
          <t>Cone-Rod Dystrophy</t>
        </is>
      </c>
      <c r="C65" s="8" t="inlineStr">
        <is>
          <t>CORD4</t>
        </is>
      </c>
      <c r="D65" s="8" t="inlineStr">
        <is>
          <t>613093</t>
        </is>
      </c>
      <c r="E65" s="8" t="inlineStr">
        <is>
          <t>OMIM:613093</t>
        </is>
      </c>
      <c r="F65" s="8" t="inlineStr">
        <is>
          <t>OMIM phenotype entry</t>
        </is>
      </c>
      <c r="G65" s="8" t="inlineStr">
        <is>
          <t>Secondary</t>
        </is>
      </c>
      <c r="H65" s="8" t="inlineStr">
        <is>
          <t>Retinal ciliopathy</t>
        </is>
      </c>
      <c r="I65" s="8" t="inlineStr">
        <is>
          <t>PDE6C</t>
        </is>
      </c>
      <c r="J65" s="8" t="inlineStr">
        <is>
          <t>AR</t>
        </is>
      </c>
      <c r="K65" s="8" t="inlineStr">
        <is>
          <t>Eyes; Nervous system</t>
        </is>
      </c>
      <c r="L65" s="8" t="n">
        <v>8</v>
      </c>
      <c r="M65" s="8" t="inlineStr">
        <is>
          <t>HP:0000639; HP:0030465; HP:0000613; HP:0007663; HP:0007641; HP:0000505; HP:0000548; HP:0030825</t>
        </is>
      </c>
      <c r="N65" s="8" t="inlineStr">
        <is>
          <t>Yes</t>
        </is>
      </c>
      <c r="O65" s="8" t="n"/>
      <c r="P65" s="8" t="n"/>
    </row>
    <row r="66">
      <c r="A66" s="8" t="inlineStr">
        <is>
          <t>CILP_0065</t>
        </is>
      </c>
      <c r="B66" s="8" t="inlineStr">
        <is>
          <t>Cone-Rod Dystrophy</t>
        </is>
      </c>
      <c r="C66" s="8" t="inlineStr">
        <is>
          <t>CORD15</t>
        </is>
      </c>
      <c r="D66" s="8" t="inlineStr">
        <is>
          <t>613660</t>
        </is>
      </c>
      <c r="E66" s="8" t="inlineStr">
        <is>
          <t>OMIM:613660</t>
        </is>
      </c>
      <c r="F66" s="8" t="inlineStr">
        <is>
          <t>OMIM phenotype entry</t>
        </is>
      </c>
      <c r="G66" s="8" t="inlineStr">
        <is>
          <t>Secondary</t>
        </is>
      </c>
      <c r="H66" s="8" t="inlineStr">
        <is>
          <t>Retinal ciliopathy</t>
        </is>
      </c>
      <c r="I66" s="8" t="inlineStr">
        <is>
          <t>CDHR1</t>
        </is>
      </c>
      <c r="J66" s="8" t="inlineStr">
        <is>
          <t>AR</t>
        </is>
      </c>
      <c r="K66" s="8" t="inlineStr">
        <is>
          <t>Eyes; Cardiovascular; Nervous system</t>
        </is>
      </c>
      <c r="L66" s="8" t="n">
        <v>8</v>
      </c>
      <c r="M66" s="8" t="inlineStr">
        <is>
          <t>HP:0001133; HP:0000662; HP:0000551; HP:0000529; HP:0000613; HP:0000510; HP:0007722; HP:0007843</t>
        </is>
      </c>
      <c r="N66" s="8" t="inlineStr">
        <is>
          <t>Yes</t>
        </is>
      </c>
      <c r="O66" s="8" t="n"/>
      <c r="P66" s="8" t="inlineStr">
        <is>
          <t>Same OMIM entry also curated under Retinitis Pigmentosa (CILP_0303)</t>
        </is>
      </c>
    </row>
    <row r="67">
      <c r="A67" s="8" t="inlineStr">
        <is>
          <t>CILP_0066</t>
        </is>
      </c>
      <c r="B67" s="8" t="inlineStr">
        <is>
          <t>Cone-Rod Dystrophy</t>
        </is>
      </c>
      <c r="C67" s="8" t="inlineStr">
        <is>
          <t>CORD16</t>
        </is>
      </c>
      <c r="D67" s="8" t="inlineStr">
        <is>
          <t>614500</t>
        </is>
      </c>
      <c r="E67" s="8" t="inlineStr">
        <is>
          <t>OMIM:614500</t>
        </is>
      </c>
      <c r="F67" s="8" t="inlineStr">
        <is>
          <t>OMIM phenotype entry</t>
        </is>
      </c>
      <c r="G67" s="8" t="inlineStr">
        <is>
          <t>Secondary</t>
        </is>
      </c>
      <c r="H67" s="8" t="inlineStr">
        <is>
          <t>Retinal ciliopathy</t>
        </is>
      </c>
      <c r="I67" s="8" t="inlineStr">
        <is>
          <t>C8orf37</t>
        </is>
      </c>
      <c r="J67" s="8" t="inlineStr">
        <is>
          <t>AR</t>
        </is>
      </c>
      <c r="K67" s="8" t="inlineStr">
        <is>
          <t>Eyes; Cardiovascular; Limbs; Nervous system; Skeletal</t>
        </is>
      </c>
      <c r="L67" s="8" t="n">
        <v>13</v>
      </c>
      <c r="M67" s="8" t="inlineStr">
        <is>
          <t>HP:0007737; HP:0000662; HP:0025147; HP:0100259; HP:0000529; HP:0000518; HP:0000613; HP:0007663; HP:0000548; HP:0007401; HP:0000543; HP:0000510; HP:0007843</t>
        </is>
      </c>
      <c r="N67" s="8" t="inlineStr">
        <is>
          <t>Yes</t>
        </is>
      </c>
      <c r="O67" s="8" t="n"/>
      <c r="P67" s="8" t="inlineStr">
        <is>
          <t>Same OMIM entry also curated under Retinitis Pigmentosa (CILP_0320)</t>
        </is>
      </c>
    </row>
    <row r="68">
      <c r="A68" s="8" t="inlineStr">
        <is>
          <t>CILP_0067</t>
        </is>
      </c>
      <c r="B68" s="8" t="inlineStr">
        <is>
          <t>Cone-Rod Dystrophy</t>
        </is>
      </c>
      <c r="C68" s="8" t="inlineStr">
        <is>
          <t>CORD18</t>
        </is>
      </c>
      <c r="D68" s="8" t="inlineStr">
        <is>
          <t>615374</t>
        </is>
      </c>
      <c r="E68" s="8" t="inlineStr">
        <is>
          <t>OMIM:615374</t>
        </is>
      </c>
      <c r="F68" s="8" t="inlineStr">
        <is>
          <t>OMIM phenotype entry</t>
        </is>
      </c>
      <c r="G68" s="8" t="inlineStr">
        <is>
          <t>Secondary</t>
        </is>
      </c>
      <c r="H68" s="8" t="inlineStr">
        <is>
          <t>Retinal ciliopathy</t>
        </is>
      </c>
      <c r="I68" s="8" t="inlineStr">
        <is>
          <t>RAB28</t>
        </is>
      </c>
      <c r="J68" s="8" t="inlineStr">
        <is>
          <t>AR</t>
        </is>
      </c>
      <c r="K68" s="8" t="inlineStr">
        <is>
          <t>Eyes</t>
        </is>
      </c>
      <c r="L68" s="8" t="n">
        <v>6</v>
      </c>
      <c r="M68" s="8" t="inlineStr">
        <is>
          <t>HP:0025010; HP:0008001; HP:0007663; HP:0000603; HP:0011003; HP:0000548</t>
        </is>
      </c>
      <c r="N68" s="8" t="inlineStr">
        <is>
          <t>Yes</t>
        </is>
      </c>
      <c r="O68" s="8" t="n"/>
      <c r="P68" s="8" t="n"/>
    </row>
    <row r="69">
      <c r="A69" s="8" t="inlineStr">
        <is>
          <t>CILP_0068</t>
        </is>
      </c>
      <c r="B69" s="8" t="inlineStr">
        <is>
          <t>Cone-Rod Dystrophy</t>
        </is>
      </c>
      <c r="C69" s="8" t="inlineStr">
        <is>
          <t>CORD19</t>
        </is>
      </c>
      <c r="D69" s="8" t="inlineStr">
        <is>
          <t>615860</t>
        </is>
      </c>
      <c r="E69" s="8" t="inlineStr">
        <is>
          <t>OMIM:615860</t>
        </is>
      </c>
      <c r="F69" s="8" t="inlineStr">
        <is>
          <t>OMIM phenotype entry</t>
        </is>
      </c>
      <c r="G69" s="8" t="inlineStr">
        <is>
          <t>Secondary</t>
        </is>
      </c>
      <c r="H69" s="8" t="inlineStr">
        <is>
          <t>Retinal ciliopathy</t>
        </is>
      </c>
      <c r="I69" s="8" t="inlineStr">
        <is>
          <t>TTLL5</t>
        </is>
      </c>
      <c r="J69" s="8" t="inlineStr">
        <is>
          <t>AR</t>
        </is>
      </c>
      <c r="K69" s="8" t="inlineStr">
        <is>
          <t>Eyes</t>
        </is>
      </c>
      <c r="L69" s="8" t="n">
        <v>5</v>
      </c>
      <c r="M69" s="8" t="inlineStr">
        <is>
          <t>HP:0007663; HP:0030629; HP:0000548; HP:0011003; HP:0030844</t>
        </is>
      </c>
      <c r="N69" s="8" t="inlineStr">
        <is>
          <t>Yes</t>
        </is>
      </c>
      <c r="O69" s="8" t="n"/>
      <c r="P69" s="8" t="n"/>
    </row>
    <row r="70">
      <c r="A70" s="8" t="inlineStr">
        <is>
          <t>CILP_0069</t>
        </is>
      </c>
      <c r="B70" s="8" t="inlineStr">
        <is>
          <t>Cone-Rod Dystrophy</t>
        </is>
      </c>
      <c r="C70" s="8" t="inlineStr">
        <is>
          <t>CORD20</t>
        </is>
      </c>
      <c r="D70" s="8" t="inlineStr">
        <is>
          <t>615973</t>
        </is>
      </c>
      <c r="E70" s="8" t="inlineStr">
        <is>
          <t>OMIM:615973</t>
        </is>
      </c>
      <c r="F70" s="8" t="inlineStr">
        <is>
          <t>OMIM phenotype entry</t>
        </is>
      </c>
      <c r="G70" s="8" t="inlineStr">
        <is>
          <t>Secondary</t>
        </is>
      </c>
      <c r="H70" s="8" t="inlineStr">
        <is>
          <t>Retinal ciliopathy</t>
        </is>
      </c>
      <c r="I70" s="8" t="inlineStr">
        <is>
          <t>POC1B</t>
        </is>
      </c>
      <c r="J70" s="8" t="inlineStr">
        <is>
          <t>AR</t>
        </is>
      </c>
      <c r="K70" s="8" t="inlineStr">
        <is>
          <t>Eyes</t>
        </is>
      </c>
      <c r="L70" s="8" t="n">
        <v>10</v>
      </c>
      <c r="M70" s="8" t="inlineStr">
        <is>
          <t>HP:0001133; HP:0007737; HP:0000552; HP:0011003; HP:0000639; HP:0007663; HP:0000505; HP:0000548; HP:0000603; HP:0000543</t>
        </is>
      </c>
      <c r="N70" s="8" t="inlineStr">
        <is>
          <t>Yes</t>
        </is>
      </c>
      <c r="O70" s="8" t="n"/>
      <c r="P70" s="8" t="n"/>
    </row>
    <row r="71">
      <c r="A71" s="8" t="inlineStr">
        <is>
          <t>CILP_0070</t>
        </is>
      </c>
      <c r="B71" s="8" t="inlineStr">
        <is>
          <t>Cone-Rod Dystrophy</t>
        </is>
      </c>
      <c r="C71" s="8" t="inlineStr">
        <is>
          <t>CORD21</t>
        </is>
      </c>
      <c r="D71" s="8" t="inlineStr">
        <is>
          <t>616502</t>
        </is>
      </c>
      <c r="E71" s="8" t="inlineStr">
        <is>
          <t>OMIM:616502</t>
        </is>
      </c>
      <c r="F71" s="8" t="inlineStr">
        <is>
          <t>OMIM phenotype entry</t>
        </is>
      </c>
      <c r="G71" s="8" t="inlineStr">
        <is>
          <t>Secondary</t>
        </is>
      </c>
      <c r="H71" s="8" t="inlineStr">
        <is>
          <t>Retinal ciliopathy</t>
        </is>
      </c>
      <c r="I71" s="8" t="inlineStr">
        <is>
          <t>DRAM2</t>
        </is>
      </c>
      <c r="J71" s="8" t="inlineStr">
        <is>
          <t>AR</t>
        </is>
      </c>
      <c r="K71" s="8" t="inlineStr">
        <is>
          <t>Eyes; Nervous system</t>
        </is>
      </c>
      <c r="L71" s="8" t="n">
        <v>5</v>
      </c>
      <c r="M71" s="8" t="inlineStr">
        <is>
          <t>HP:0000662; HP:0000613; HP:0007663; HP:0007401; HP:0000556</t>
        </is>
      </c>
      <c r="N71" s="8" t="inlineStr">
        <is>
          <t>Yes</t>
        </is>
      </c>
      <c r="O71" s="8" t="n"/>
      <c r="P71" s="8" t="n"/>
    </row>
    <row r="72">
      <c r="A72" s="8" t="inlineStr">
        <is>
          <t>CILP_0071</t>
        </is>
      </c>
      <c r="B72" s="8" t="inlineStr">
        <is>
          <t>Cone-Rod Dystrophy</t>
        </is>
      </c>
      <c r="C72" s="8" t="inlineStr">
        <is>
          <t>CORD22</t>
        </is>
      </c>
      <c r="D72" s="8" t="inlineStr">
        <is>
          <t>619531</t>
        </is>
      </c>
      <c r="E72" s="8" t="inlineStr">
        <is>
          <t>OMIM:619531</t>
        </is>
      </c>
      <c r="F72" s="8" t="inlineStr">
        <is>
          <t>OMIM phenotype entry</t>
        </is>
      </c>
      <c r="G72" s="8" t="inlineStr">
        <is>
          <t>Secondary</t>
        </is>
      </c>
      <c r="H72" s="8" t="inlineStr">
        <is>
          <t>Retinal ciliopathy</t>
        </is>
      </c>
      <c r="I72" s="8" t="inlineStr">
        <is>
          <t>TLCD3B</t>
        </is>
      </c>
      <c r="J72" s="8" t="inlineStr">
        <is>
          <t>AR</t>
        </is>
      </c>
      <c r="K72" s="8" t="inlineStr">
        <is>
          <t>Eyes; Cardiovascular; Nervous system</t>
        </is>
      </c>
      <c r="L72" s="8" t="n">
        <v>10</v>
      </c>
      <c r="M72" s="8" t="inlineStr">
        <is>
          <t>HP:0030631; HP:0025159; HP:0030629; HP:0030825; HP:0011504; HP:0030844; HP:0000613; HP:0007663; HP:0007722; HP:0007843</t>
        </is>
      </c>
      <c r="N72" s="8" t="inlineStr">
        <is>
          <t>Yes</t>
        </is>
      </c>
      <c r="O72" s="8" t="n"/>
      <c r="P72" s="8" t="n"/>
    </row>
    <row r="73">
      <c r="A73" s="8" t="inlineStr">
        <is>
          <t>CILP_0072</t>
        </is>
      </c>
      <c r="B73" s="8" t="inlineStr">
        <is>
          <t>Cone-Rod Dystrophy</t>
        </is>
      </c>
      <c r="C73" s="8" t="inlineStr">
        <is>
          <t>CORD</t>
        </is>
      </c>
      <c r="D73" s="8" t="n"/>
      <c r="E73" s="8" t="inlineStr">
        <is>
          <t>ORPHA:1872</t>
        </is>
      </c>
      <c r="F73" s="8" t="inlineStr">
        <is>
          <t>Orphanet entry (matched by disease name)</t>
        </is>
      </c>
      <c r="G73" s="8" t="inlineStr">
        <is>
          <t>Secondary</t>
        </is>
      </c>
      <c r="H73" s="8" t="inlineStr">
        <is>
          <t>Retinal ciliopathy</t>
        </is>
      </c>
      <c r="I73" s="8" t="inlineStr">
        <is>
          <t>DYNC2I2</t>
        </is>
      </c>
      <c r="J73" s="8" t="inlineStr">
        <is>
          <t>Genetically heterogeneous</t>
        </is>
      </c>
      <c r="K73" s="8" t="inlineStr">
        <is>
          <t>Eyes; Cardiovascular; Nervous system</t>
        </is>
      </c>
      <c r="L73" s="8" t="n">
        <v>15</v>
      </c>
      <c r="M73" s="8" t="inlineStr">
        <is>
          <t>HP:0000613; HP:0000662; HP:0007703; HP:0000529; HP:0000543; HP:0000551; HP:0000603; HP:0001105; HP:0007641; HP:0007737; HP:0007843; HP:0030466; HP:0000505; HP:0000639; HP:0012508</t>
        </is>
      </c>
      <c r="N73" s="8" t="inlineStr">
        <is>
          <t>Yes</t>
        </is>
      </c>
      <c r="O73" s="8" t="n"/>
      <c r="P73" s="8" t="n"/>
    </row>
    <row r="74">
      <c r="A74" s="8" t="inlineStr">
        <is>
          <t>CILP_0073</t>
        </is>
      </c>
      <c r="B74" s="8" t="inlineStr">
        <is>
          <t>Congenital Heart Disease</t>
        </is>
      </c>
      <c r="C74" s="8" t="inlineStr">
        <is>
          <t>HDCA</t>
        </is>
      </c>
      <c r="D74" s="8" t="inlineStr">
        <is>
          <t>600001</t>
        </is>
      </c>
      <c r="E74" s="8" t="inlineStr">
        <is>
          <t>OMIM:600001</t>
        </is>
      </c>
      <c r="F74" s="8" t="inlineStr">
        <is>
          <t>OMIM phenotype entry</t>
        </is>
      </c>
      <c r="G74" s="8" t="inlineStr">
        <is>
          <t>Secondary</t>
        </is>
      </c>
      <c r="H74" s="8" t="inlineStr">
        <is>
          <t>Atypical / secondary ciliopathy</t>
        </is>
      </c>
      <c r="I74" s="8" t="inlineStr">
        <is>
          <t>GATA6</t>
        </is>
      </c>
      <c r="J74" s="8" t="inlineStr">
        <is>
          <t>AD</t>
        </is>
      </c>
      <c r="K74" s="8" t="inlineStr">
        <is>
          <t>Abdomen; Cardiovascular; Endocrine; Growth; Genitourinary; Head and neck; Nervous system; Metabolism; Respiratory; Skeletal</t>
        </is>
      </c>
      <c r="L74" s="8" t="n">
        <v>35</v>
      </c>
      <c r="M74" s="8" t="inlineStr">
        <is>
          <t>HP:0000023; HP:0004388; HP:0001250; HP:0001195; HP:0003076; HP:0011611; HP:0003074; HP:0031369; HP:0000819; HP:0011581; HP:0001508; HP:0001629; HP:0011682; HP:0001669; HP:0001643; HP:0001642; HP:0000776; HP:0004415; HP:0000891; HP:0000252; HP:0001660; HP:0011629; HP:0000073; HP:0002594; HP:0001263; HP:0011467; HP:0011573; HP:0009112; HP:0001636; HP:0001537; HP:0001511; HP:0001631; HP:0005912; HP:0002566; HP:0001655</t>
        </is>
      </c>
      <c r="N74" s="8" t="inlineStr">
        <is>
          <t>No</t>
        </is>
      </c>
      <c r="O74" s="8" t="inlineStr">
        <is>
          <t>Disease family with fewer than 5 entries</t>
        </is>
      </c>
      <c r="P74" s="8" t="n"/>
    </row>
    <row r="75">
      <c r="A75" s="8" t="inlineStr">
        <is>
          <t>CILP_0074</t>
        </is>
      </c>
      <c r="B75" s="8" t="inlineStr">
        <is>
          <t>Cornelia de Lange Syndrome</t>
        </is>
      </c>
      <c r="C75" s="8" t="inlineStr">
        <is>
          <t>CDLS1</t>
        </is>
      </c>
      <c r="D75" s="8" t="inlineStr">
        <is>
          <t>122470</t>
        </is>
      </c>
      <c r="E75" s="8" t="inlineStr">
        <is>
          <t>OMIM:122470</t>
        </is>
      </c>
      <c r="F75" s="8" t="inlineStr">
        <is>
          <t>OMIM phenotype entry</t>
        </is>
      </c>
      <c r="G75" s="8" t="inlineStr">
        <is>
          <t>Secondary</t>
        </is>
      </c>
      <c r="H75" s="8" t="inlineStr">
        <is>
          <t>Atypical / secondary ciliopathy</t>
        </is>
      </c>
      <c r="I75" s="8" t="inlineStr">
        <is>
          <t>NIPBL</t>
        </is>
      </c>
      <c r="J75" s="8" t="inlineStr">
        <is>
          <t>SPORADIC; AD</t>
        </is>
      </c>
      <c r="K75" s="8" t="inlineStr">
        <is>
          <t>Abdomen; Eyes; Ears; Cardiovascular; Growth; Genitourinary; Immune system; Head and neck; Limbs; Nervous system; Metabolism; Respiratory; Skeletal; Skin</t>
        </is>
      </c>
      <c r="L75" s="8" t="n">
        <v>125</v>
      </c>
      <c r="M75" s="8" t="inlineStr">
        <is>
          <t>HP:0000483; HP:0002023; HP:0000365; HP:0000486; HP:0000089; HP:0004322; HP:0002021; HP:0000086; HP:0000482; HP:0003196; HP:0002020; HP:0000085; HP:0000639; HP:0008897; HP:0009623; HP:0000879; HP:0002036; HP:0002553; HP:0000252; HP:0002033; HP:0004691; HP:0000093; HP:0003083; HP:0000407; HP:0000527; HP:0000648; HP:0004209; HP:0000405; HP:0005815; HP:0007678; HP:0000520; HP:0000248; HP:0000369; HP:0001612; HP:0000126; HP:0003997; HP:0001276; HP:0000341; HP:0000343; HP:0004785; HP:0000463; HP:0001156; HP:0002120; HP:0004383; HP:0001270; HP:0000739; HP:0011120; HP:0000733; HP:0000219; HP:0030084; HP:0007665; HP:0000218; HP:0000455; HP:0000059; HP:0001545; HP:0000076; HP:0000750; HP:0009829; HP:0000470; HP:0002090; HP:0012165; HP:0000508; HP:0000107; HP:0008743; HP:0100716; HP:0001159; HP:0007018; HP:0000347; HP:0000588; HP:0002983; HP:0001770; HP:0002188; HP:0000684; HP:0001377; HP:0001773; HP:0001250; HP:0001252; HP:0410030; HP:0009380; HP:0031228; HP:0000319; HP:0000718; HP:0001647; HP:0000954; HP:0001643; HP:0001642; HP:0001007; HP:0001249; HP:0000175; HP:0000453; HP:0030148; HP:0000574; HP:0002750; HP:0011968; HP:0000050; HP:0001263; HP:0000294; HP:0012385; HP:0000729; HP:0000965; HP:0002987; HP:0000047; HP:0000204; HP:0002984; HP:0001655; HP:0000687; HP:0000023; HP:0002162; HP:0001629; HP:0002714; HP:0002557; HP:0000776; HP:0001640; HP:0005565; HP:0005280; HP:0010066; HP:0001636; HP:0001511; HP:0200055; HP:0000664; HP:0001631; HP:0000388; HP:0001873; HP:0000028; HP:0000545</t>
        </is>
      </c>
      <c r="N75" s="8" t="inlineStr">
        <is>
          <t>Yes</t>
        </is>
      </c>
      <c r="O75" s="8" t="n"/>
      <c r="P75" s="8" t="n"/>
    </row>
    <row r="76">
      <c r="A76" s="8" t="inlineStr">
        <is>
          <t>CILP_0075</t>
        </is>
      </c>
      <c r="B76" s="8" t="inlineStr">
        <is>
          <t>Cornelia de Lange Syndrome</t>
        </is>
      </c>
      <c r="C76" s="8" t="inlineStr">
        <is>
          <t>CDLS2</t>
        </is>
      </c>
      <c r="D76" s="8" t="inlineStr">
        <is>
          <t>300590</t>
        </is>
      </c>
      <c r="E76" s="8" t="inlineStr">
        <is>
          <t>OMIM:300590</t>
        </is>
      </c>
      <c r="F76" s="8" t="inlineStr">
        <is>
          <t>OMIM phenotype entry</t>
        </is>
      </c>
      <c r="G76" s="8" t="inlineStr">
        <is>
          <t>Secondary</t>
        </is>
      </c>
      <c r="H76" s="8" t="inlineStr">
        <is>
          <t>Atypical / secondary ciliopathy</t>
        </is>
      </c>
      <c r="I76" s="8" t="inlineStr">
        <is>
          <t>SMC1A</t>
        </is>
      </c>
      <c r="J76" s="8" t="inlineStr">
        <is>
          <t>XLD; XLR</t>
        </is>
      </c>
      <c r="K76" s="8" t="inlineStr">
        <is>
          <t>Abdomen; Eyes; Cardiovascular; Growth; Head and neck; Limbs; Nervous system; Skeletal; Skin</t>
        </is>
      </c>
      <c r="L76" s="8" t="n">
        <v>37</v>
      </c>
      <c r="M76" s="8" t="inlineStr">
        <is>
          <t>HP:0000341; HP:0002465; HP:0001773; HP:0004322; HP:0000463; HP:0001156; HP:0001250; HP:0002020; HP:0100543; HP:0000319; HP:0000219; HP:0002119; HP:0009623; HP:0008897; HP:0002714; HP:0000218; HP:0030084; HP:0001249; HP:0001007; HP:0002996; HP:0002553; HP:0000252; HP:0000494; HP:0000574; HP:0001263; HP:0000470; HP:0000294; HP:0001639; HP:0000508; HP:0000426; HP:0000965; HP:0000527; HP:0001511; HP:0000664; HP:0200055; HP:0000248; HP:0000347</t>
        </is>
      </c>
      <c r="N76" s="8" t="inlineStr">
        <is>
          <t>Yes</t>
        </is>
      </c>
      <c r="O76" s="8" t="n"/>
      <c r="P76" s="8" t="n"/>
    </row>
    <row r="77">
      <c r="A77" s="8" t="inlineStr">
        <is>
          <t>CILP_0076</t>
        </is>
      </c>
      <c r="B77" s="8" t="inlineStr">
        <is>
          <t>Cornelia de Lange Syndrome</t>
        </is>
      </c>
      <c r="C77" s="8" t="inlineStr">
        <is>
          <t>CDLS5</t>
        </is>
      </c>
      <c r="D77" s="8" t="inlineStr">
        <is>
          <t>300882</t>
        </is>
      </c>
      <c r="E77" s="8" t="inlineStr">
        <is>
          <t>OMIM:300882</t>
        </is>
      </c>
      <c r="F77" s="8" t="inlineStr">
        <is>
          <t>OMIM phenotype entry</t>
        </is>
      </c>
      <c r="G77" s="8" t="inlineStr">
        <is>
          <t>Secondary</t>
        </is>
      </c>
      <c r="H77" s="8" t="inlineStr">
        <is>
          <t>Atypical / secondary ciliopathy</t>
        </is>
      </c>
      <c r="I77" s="8" t="inlineStr">
        <is>
          <t>HDAC8</t>
        </is>
      </c>
      <c r="J77" s="8" t="inlineStr">
        <is>
          <t>XL; XLD</t>
        </is>
      </c>
      <c r="K77" s="8" t="inlineStr">
        <is>
          <t>Abdomen; Eyes; Ears; Cardiovascular; Endocrine; Growth; Genitourinary; Head and neck; Limbs; Nervous system; Skeletal; Skin</t>
        </is>
      </c>
      <c r="L77" s="8" t="n">
        <v>50</v>
      </c>
      <c r="M77" s="8" t="inlineStr">
        <is>
          <t>HP:0001770; HP:0001773; HP:0001377; HP:0000365; HP:0004322; HP:0001250; HP:0002020; HP:0001290; HP:0000316; HP:0009623; HP:0008897; HP:0008734; HP:0000278; HP:0001007; HP:0001249; HP:0002553; HP:0000175; HP:0000054; HP:0000252; HP:0003764; HP:0000490; HP:0001263; HP:0000294; HP:0000965; HP:0000527; HP:0004209; HP:0000248; HP:0000687; HP:0000343; HP:0000463; HP:0040082; HP:0008872; HP:0002119; HP:0002714; HP:0000218; HP:0000455; HP:0000135; HP:0000233; HP:0000470; HP:0005280; HP:0000708; HP:0000506; HP:0000508; HP:0000426; HP:0001956; HP:0000664; HP:0200055; HP:0000347; HP:0000545; HP:0000028</t>
        </is>
      </c>
      <c r="N77" s="8" t="inlineStr">
        <is>
          <t>Yes</t>
        </is>
      </c>
      <c r="O77" s="8" t="n"/>
      <c r="P77" s="8" t="n"/>
    </row>
    <row r="78">
      <c r="A78" s="8" t="inlineStr">
        <is>
          <t>CILP_0077</t>
        </is>
      </c>
      <c r="B78" s="8" t="inlineStr">
        <is>
          <t>Cornelia de Lange Syndrome</t>
        </is>
      </c>
      <c r="C78" s="8" t="inlineStr">
        <is>
          <t>CDLS3</t>
        </is>
      </c>
      <c r="D78" s="8" t="inlineStr">
        <is>
          <t>610759</t>
        </is>
      </c>
      <c r="E78" s="8" t="inlineStr">
        <is>
          <t>OMIM:610759</t>
        </is>
      </c>
      <c r="F78" s="8" t="inlineStr">
        <is>
          <t>OMIM phenotype entry</t>
        </is>
      </c>
      <c r="G78" s="8" t="inlineStr">
        <is>
          <t>Secondary</t>
        </is>
      </c>
      <c r="H78" s="8" t="inlineStr">
        <is>
          <t>Atypical / secondary ciliopathy</t>
        </is>
      </c>
      <c r="I78" s="8" t="inlineStr">
        <is>
          <t>SMC3</t>
        </is>
      </c>
      <c r="J78" s="8" t="inlineStr">
        <is>
          <t>AD</t>
        </is>
      </c>
      <c r="K78" s="8" t="inlineStr">
        <is>
          <t>Abdomen; Eyes; Ears; Cardiovascular; Growth; Genitourinary; Head and neck; Limbs; Nervous system; Skeletal; Skin</t>
        </is>
      </c>
      <c r="L78" s="8" t="n">
        <v>80</v>
      </c>
      <c r="M78" s="8" t="inlineStr">
        <is>
          <t>HP:0000286; HP:0002465; HP:0001770; HP:0000365; HP:0001773; HP:0004322; HP:0001052; HP:0001250; HP:0002020; HP:0010047; HP:0000319; HP:0001647; HP:0000954; HP:0009623; HP:0001643; HP:0001642; HP:0000278; HP:0001007; HP:0001249; HP:0000358; HP:0002553; HP:0000175; HP:0030820; HP:0000252; HP:0000574; HP:0000331; HP:0011968; HP:0001263; HP:0000691; HP:0000294; HP:0004691; HP:0002194; HP:0010750; HP:0010044; HP:0011451; HP:0000965; HP:0000527; HP:0004209; HP:0000248; HP:0000369; HP:0000324; HP:0001655; HP:0000687; HP:0000341; HP:0001476; HP:0000343; HP:0000463; HP:0001156; HP:0012368; HP:0012210; HP:0100543; HP:0001508; HP:0001629; HP:0000414; HP:0008872; HP:0000579; HP:0000219; HP:0007665; HP:0002714; HP:0000218; HP:0000455; HP:0002996; HP:0000233; HP:0000072; HP:0005484; HP:0000470; HP:0005280; HP:0100874; HP:0011230; HP:0000508; HP:0000426; HP:0009237; HP:0002007; HP:0001357; HP:0200055; HP:0000664; HP:0001631; HP:0000028; HP:0000347; HP:0000545</t>
        </is>
      </c>
      <c r="N78" s="8" t="inlineStr">
        <is>
          <t>Yes</t>
        </is>
      </c>
      <c r="O78" s="8" t="n"/>
      <c r="P78" s="8" t="n"/>
    </row>
    <row r="79">
      <c r="A79" s="8" t="inlineStr">
        <is>
          <t>CILP_0078</t>
        </is>
      </c>
      <c r="B79" s="8" t="inlineStr">
        <is>
          <t>Cornelia de Lange Syndrome</t>
        </is>
      </c>
      <c r="C79" s="8" t="inlineStr">
        <is>
          <t>CDLS4</t>
        </is>
      </c>
      <c r="D79" s="8" t="inlineStr">
        <is>
          <t>614701</t>
        </is>
      </c>
      <c r="E79" s="8" t="inlineStr">
        <is>
          <t>OMIM:614701</t>
        </is>
      </c>
      <c r="F79" s="8" t="inlineStr">
        <is>
          <t>OMIM phenotype entry</t>
        </is>
      </c>
      <c r="G79" s="8" t="inlineStr">
        <is>
          <t>Secondary</t>
        </is>
      </c>
      <c r="H79" s="8" t="inlineStr">
        <is>
          <t>Atypical / secondary ciliopathy</t>
        </is>
      </c>
      <c r="I79" s="8" t="inlineStr">
        <is>
          <t>RAD21</t>
        </is>
      </c>
      <c r="J79" s="8" t="inlineStr">
        <is>
          <t>AD</t>
        </is>
      </c>
      <c r="K79" s="8" t="inlineStr">
        <is>
          <t>Abdomen; Eyes; Ears; Cardiovascular; Growth; Head and neck; Limbs; Nervous system; Skeletal; Skin</t>
        </is>
      </c>
      <c r="L79" s="8" t="n">
        <v>45</v>
      </c>
      <c r="M79" s="8" t="inlineStr">
        <is>
          <t>HP:0000220; HP:0000582; HP:0000343; HP:0001156; HP:0004322; HP:0000463; HP:0000381; HP:0001250; HP:0003196; HP:0002020; HP:0033785; HP:0012368; HP:0100864; HP:0000319; HP:0002937; HP:0000954; HP:0000316; HP:0006870; HP:0000219; HP:0002812; HP:0002119; HP:0002678; HP:0001488; HP:0002974; HP:0002553; HP:0000176; HP:0000175; HP:0000252; HP:0000574; HP:0000431; HP:0000233; HP:0001263; HP:0004691; HP:0100777; HP:0000965; HP:0001636; HP:0000601; HP:0004209; HP:0000768; HP:0001159; HP:0000664; HP:0008428; HP:0002566; HP:0000248; HP:0000369</t>
        </is>
      </c>
      <c r="N79" s="8" t="inlineStr">
        <is>
          <t>Yes</t>
        </is>
      </c>
      <c r="O79" s="8" t="n"/>
      <c r="P79" s="8" t="n"/>
    </row>
    <row r="80">
      <c r="A80" s="8" t="inlineStr">
        <is>
          <t>CILP_0079</t>
        </is>
      </c>
      <c r="B80" s="8" t="inlineStr">
        <is>
          <t>Cornelia de Lange Syndrome</t>
        </is>
      </c>
      <c r="C80" s="8" t="n"/>
      <c r="D80" s="8" t="n"/>
      <c r="E80" s="8" t="inlineStr">
        <is>
          <t>ORPHA:199</t>
        </is>
      </c>
      <c r="F80" s="8" t="inlineStr">
        <is>
          <t>Orphanet entry (matched by disease name)</t>
        </is>
      </c>
      <c r="G80" s="8" t="inlineStr">
        <is>
          <t>Secondary</t>
        </is>
      </c>
      <c r="H80" s="8" t="inlineStr">
        <is>
          <t>Atypical / secondary ciliopathy</t>
        </is>
      </c>
      <c r="I80" s="8" t="inlineStr">
        <is>
          <t>ANKRD11</t>
        </is>
      </c>
      <c r="J80" s="8" t="inlineStr">
        <is>
          <t>Needs curation</t>
        </is>
      </c>
      <c r="K80" s="8" t="inlineStr">
        <is>
          <t>Abdomen; Eyes; Ears; Cardiovascular; Endocrine; Growth; Genitourinary; Immune system; Head and neck; Limbs; Nervous system; Metabolism; Skeletal; Skin</t>
        </is>
      </c>
      <c r="L80" s="8" t="n">
        <v>100</v>
      </c>
      <c r="M80" s="8" t="inlineStr">
        <is>
          <t>HP:0000218; HP:0000233; HP:0000248; HP:0000252; HP:0000294; HP:0000343; HP:0000347; HP:0000413; HP:0000463; HP:0000470; HP:0000527; HP:0000574; HP:0000664; HP:0000684; HP:0000687; HP:0001249; HP:0001276; HP:0001770; HP:0001773; HP:0002020; HP:0002162; HP:0002230; HP:0002553; HP:0002714; HP:0002750; HP:0002983; HP:0003196; HP:0004322; HP:0005280; HP:0007665; HP:0009623; HP:0010034; HP:0010300; HP:0010864; HP:0200055; HP:0000003; HP:0000028; HP:0000047; HP:0000059; HP:0000076; HP:0000405; HP:0000407; HP:0000482; HP:0000498; HP:0000508; HP:0000545; HP:0000667; HP:0000722; HP:0000739; HP:0000965; HP:0001387; HP:0001508; HP:0001511; HP:0001622; HP:0002167; HP:0002360; HP:0002557; HP:0002974; HP:0003042; HP:0004209; HP:0007018; HP:0007598; HP:0008736; HP:0008850; HP:0008872; HP:0000083; HP:0000130; HP:0000175; HP:0000400; HP:0000453; HP:0000486; HP:0000501; HP:0000518; HP:0000639; HP:0000717; HP:0000767; HP:0000776; HP:0000786; HP:0000823; HP:0001250; HP:0001252; HP:0001385; HP:0001557; HP:0001629; HP:0001631; HP:0001883; HP:0001956; HP:0002021; HP:0002119; HP:0002120; HP:0002566; HP:0002580; HP:0002827; HP:0007360; HP:0009830; HP:0010880; HP:0012165; HP:0030680; HP:0040071; HP:0000358</t>
        </is>
      </c>
      <c r="N80" s="8" t="inlineStr">
        <is>
          <t>Yes</t>
        </is>
      </c>
      <c r="O80" s="8" t="n"/>
      <c r="P80" s="8" t="n"/>
    </row>
    <row r="81">
      <c r="A81" s="8" t="inlineStr">
        <is>
          <t>CILP_0080</t>
        </is>
      </c>
      <c r="B81" s="8" t="inlineStr">
        <is>
          <t>Cornelia de Lange Syndrome</t>
        </is>
      </c>
      <c r="C81" s="8" t="n"/>
      <c r="D81" s="8" t="n"/>
      <c r="E81" s="8" t="inlineStr">
        <is>
          <t>ORPHA:199</t>
        </is>
      </c>
      <c r="F81" s="8" t="inlineStr">
        <is>
          <t>Orphanet entry (matched by disease name)</t>
        </is>
      </c>
      <c r="G81" s="8" t="inlineStr">
        <is>
          <t>Secondary</t>
        </is>
      </c>
      <c r="H81" s="8" t="inlineStr">
        <is>
          <t>Atypical / secondary ciliopathy</t>
        </is>
      </c>
      <c r="I81" s="8" t="inlineStr">
        <is>
          <t>BRD4</t>
        </is>
      </c>
      <c r="J81" s="8" t="inlineStr">
        <is>
          <t>Needs curation</t>
        </is>
      </c>
      <c r="K81" s="8" t="inlineStr">
        <is>
          <t>Abdomen; Eyes; Ears; Cardiovascular; Endocrine; Growth; Genitourinary; Immune system; Head and neck; Limbs; Nervous system; Metabolism; Skeletal; Skin</t>
        </is>
      </c>
      <c r="L81" s="8" t="n">
        <v>100</v>
      </c>
      <c r="M81" s="8" t="inlineStr">
        <is>
          <t>HP:0000218; HP:0000233; HP:0000248; HP:0000252; HP:0000294; HP:0000343; HP:0000347; HP:0000413; HP:0000463; HP:0000470; HP:0000527; HP:0000574; HP:0000664; HP:0000684; HP:0000687; HP:0001249; HP:0001276; HP:0001770; HP:0001773; HP:0002020; HP:0002162; HP:0002230; HP:0002553; HP:0002714; HP:0002750; HP:0002983; HP:0003196; HP:0004322; HP:0005280; HP:0007665; HP:0009623; HP:0010034; HP:0010300; HP:0010864; HP:0200055; HP:0000003; HP:0000028; HP:0000047; HP:0000059; HP:0000076; HP:0000405; HP:0000407; HP:0000482; HP:0000498; HP:0000508; HP:0000545; HP:0000667; HP:0000722; HP:0000739; HP:0000965; HP:0001387; HP:0001508; HP:0001511; HP:0001622; HP:0002167; HP:0002360; HP:0002557; HP:0002974; HP:0003042; HP:0004209; HP:0007018; HP:0007598; HP:0008736; HP:0008850; HP:0008872; HP:0000083; HP:0000130; HP:0000175; HP:0000400; HP:0000453; HP:0000486; HP:0000501; HP:0000518; HP:0000639; HP:0000717; HP:0000767; HP:0000776; HP:0000786; HP:0000823; HP:0001250; HP:0001252; HP:0001385; HP:0001557; HP:0001629; HP:0001631; HP:0001883; HP:0001956; HP:0002021; HP:0002119; HP:0002120; HP:0002566; HP:0002580; HP:0002827; HP:0007360; HP:0009830; HP:0010880; HP:0012165; HP:0030680; HP:0040071; HP:0000358</t>
        </is>
      </c>
      <c r="N81" s="8" t="inlineStr">
        <is>
          <t>No</t>
        </is>
      </c>
      <c r="O81" s="8" t="inlineStr">
        <is>
          <t>Exact duplicate of CILP_0079 (identical features, same family)</t>
        </is>
      </c>
      <c r="P81" s="8" t="n"/>
    </row>
    <row r="82">
      <c r="A82" s="8" t="inlineStr">
        <is>
          <t>CILP_0081</t>
        </is>
      </c>
      <c r="B82" s="8" t="inlineStr">
        <is>
          <t>Cranioectodermal Dysplasia</t>
        </is>
      </c>
      <c r="C82" s="8" t="inlineStr">
        <is>
          <t>CED1</t>
        </is>
      </c>
      <c r="D82" s="8" t="inlineStr">
        <is>
          <t>218330</t>
        </is>
      </c>
      <c r="E82" s="8" t="inlineStr">
        <is>
          <t>OMIM:218330</t>
        </is>
      </c>
      <c r="F82" s="8" t="inlineStr">
        <is>
          <t>OMIM phenotype entry</t>
        </is>
      </c>
      <c r="G82" s="8" t="inlineStr">
        <is>
          <t>Primary</t>
        </is>
      </c>
      <c r="H82" s="8" t="inlineStr">
        <is>
          <t>Skeletal ciliopathy</t>
        </is>
      </c>
      <c r="I82" s="8" t="inlineStr">
        <is>
          <t>IFT122</t>
        </is>
      </c>
      <c r="J82" s="8" t="inlineStr">
        <is>
          <t>AR</t>
        </is>
      </c>
      <c r="K82" s="8" t="inlineStr">
        <is>
          <t>Abdomen; Eyes; Ears; Cardiovascular; Growth; Genitourinary; Immune system; Head and neck; Limbs; Nervous system; Metabolism; Respiratory; Skeletal; Skin</t>
        </is>
      </c>
      <c r="L82" s="8" t="n">
        <v>65</v>
      </c>
      <c r="M82" s="8" t="inlineStr">
        <is>
          <t>HP:0000286; HP:0003038; HP:0001970; HP:0004442; HP:0003071; HP:0012622; HP:0012623; HP:0000639; HP:0000954; HP:0001647; HP:0009466; HP:0001407; HP:0002217; HP:0000674; HP:0000556; HP:0001249; HP:0001382; HP:0000293; HP:0000691; HP:0001816; HP:0000968; HP:0000767; HP:0000601; HP:0002705; HP:0001538; HP:0002901; HP:0000369; HP:0000687; HP:0003774; HP:0030799; HP:0008905; HP:0001399; HP:0000023; HP:0001156; HP:0000463; HP:0001395; HP:0005792; HP:0002240; HP:0010306; HP:0032612; HP:0008070; HP:0000939; HP:0009880; HP:0009882; HP:0006297; HP:0000218; HP:0030084; HP:0000411; HP:0000774; HP:0000773; HP:0005567; HP:0002213; HP:0000431; HP:0000232; HP:0000506; HP:0001837; HP:0000668; HP:0006563; HP:0000348; HP:0002205; HP:0002007; HP:0000268; HP:0001799; HP:0000545; HP:0001831</t>
        </is>
      </c>
      <c r="N82" s="8" t="inlineStr">
        <is>
          <t>Yes</t>
        </is>
      </c>
      <c r="O82" s="8" t="n"/>
      <c r="P82" s="8" t="n"/>
    </row>
    <row r="83">
      <c r="A83" s="8" t="inlineStr">
        <is>
          <t>CILP_0082</t>
        </is>
      </c>
      <c r="B83" s="8" t="inlineStr">
        <is>
          <t>Cranioectodermal Dysplasia</t>
        </is>
      </c>
      <c r="C83" s="8" t="inlineStr">
        <is>
          <t>CED2</t>
        </is>
      </c>
      <c r="D83" s="8" t="inlineStr">
        <is>
          <t>613610</t>
        </is>
      </c>
      <c r="E83" s="8" t="inlineStr">
        <is>
          <t>OMIM:613610</t>
        </is>
      </c>
      <c r="F83" s="8" t="inlineStr">
        <is>
          <t>OMIM phenotype entry</t>
        </is>
      </c>
      <c r="G83" s="8" t="inlineStr">
        <is>
          <t>Primary</t>
        </is>
      </c>
      <c r="H83" s="8" t="inlineStr">
        <is>
          <t>Skeletal ciliopathy</t>
        </is>
      </c>
      <c r="I83" s="8" t="inlineStr">
        <is>
          <t>WDR35</t>
        </is>
      </c>
      <c r="J83" s="8" t="inlineStr">
        <is>
          <t>AR</t>
        </is>
      </c>
      <c r="K83" s="8" t="inlineStr">
        <is>
          <t>Abdomen; Eyes; Ears; Cardiovascular; Growth; Genitourinary; Immune system; Head and neck; Limbs; Nervous system; Metabolism; Respiratory; Skeletal; Skin</t>
        </is>
      </c>
      <c r="L83" s="8" t="n">
        <v>78</v>
      </c>
      <c r="M83" s="8" t="inlineStr">
        <is>
          <t>HP:0000286; HP:0000486; HP:0004322; HP:0000083; HP:0010442; HP:0045075; HP:0000639; HP:0001408; HP:0000319; HP:0000316; HP:0007687; HP:0001643; HP:0002613; HP:0000476; HP:0000278; HP:0001249; HP:0020206; HP:0000175; HP:0000293; HP:0001382; HP:0001263; HP:0000691; HP:0011800; HP:0006580; HP:0000968; HP:0002904; HP:0011330; HP:0000888; HP:0000767; HP:0030151; HP:0000289; HP:0000369; HP:0001655; HP:0000687; HP:0011090; HP:0000341; HP:0001396; HP:0000582; HP:0008905; HP:0001156; HP:0000023; HP:0000540; HP:0000581; HP:0002240; HP:0008070; HP:0001789; HP:0001748; HP:0030084; HP:0000218; HP:0006532; HP:0000774; HP:0000653; HP:0002910; HP:0000773; HP:0000256; HP:0002676; HP:0001744; HP:0000973; HP:0001363; HP:0003027; HP:0001561; HP:0000431; HP:0000232; HP:0001162; HP:0000470; HP:0045025; HP:0005280; HP:0000506; HP:0000822; HP:0000107; HP:0000348; HP:0001712; HP:0000268; HP:0002007; HP:0001357; HP:0001159; HP:0001631; HP:0000347</t>
        </is>
      </c>
      <c r="N83" s="8" t="inlineStr">
        <is>
          <t>Yes</t>
        </is>
      </c>
      <c r="O83" s="8" t="n"/>
      <c r="P83" s="8" t="n"/>
    </row>
    <row r="84">
      <c r="A84" s="8" t="inlineStr">
        <is>
          <t>CILP_0083</t>
        </is>
      </c>
      <c r="B84" s="8" t="inlineStr">
        <is>
          <t>Cranioectodermal Dysplasia</t>
        </is>
      </c>
      <c r="C84" s="8" t="inlineStr">
        <is>
          <t>CED3</t>
        </is>
      </c>
      <c r="D84" s="8" t="inlineStr">
        <is>
          <t>614099</t>
        </is>
      </c>
      <c r="E84" s="8" t="inlineStr">
        <is>
          <t>OMIM:614099</t>
        </is>
      </c>
      <c r="F84" s="8" t="inlineStr">
        <is>
          <t>OMIM phenotype entry</t>
        </is>
      </c>
      <c r="G84" s="8" t="inlineStr">
        <is>
          <t>Primary</t>
        </is>
      </c>
      <c r="H84" s="8" t="inlineStr">
        <is>
          <t>Skeletal ciliopathy</t>
        </is>
      </c>
      <c r="I84" s="8" t="inlineStr">
        <is>
          <t>IFT43</t>
        </is>
      </c>
      <c r="J84" s="8" t="inlineStr">
        <is>
          <t>AR</t>
        </is>
      </c>
      <c r="K84" s="8" t="inlineStr">
        <is>
          <t>Abdomen; Cardiovascular; Growth; Genitourinary; Head and neck; Limbs; Respiratory; Skeletal; Skin</t>
        </is>
      </c>
      <c r="L84" s="8" t="n">
        <v>30</v>
      </c>
      <c r="M84" s="8" t="inlineStr">
        <is>
          <t>HP:0030799; HP:0003774; HP:0008905; HP:0001156; HP:0004322; HP:0004442; HP:0001394; HP:0008070; HP:0000958; HP:0000774; HP:0000256; HP:0001821; HP:0000973; HP:0002213; HP:0000232; HP:0010714; HP:0001382; HP:0004691; HP:0000090; HP:0100259; HP:0000968; HP:0000506; HP:0004969; HP:0000268; HP:0002007; HP:0001852; HP:0000685; HP:0000347; HP:0001799; HP:0000687</t>
        </is>
      </c>
      <c r="N84" s="8" t="inlineStr">
        <is>
          <t>Yes</t>
        </is>
      </c>
      <c r="O84" s="8" t="n"/>
      <c r="P84" s="8" t="n"/>
    </row>
    <row r="85">
      <c r="A85" s="8" t="inlineStr">
        <is>
          <t>CILP_0084</t>
        </is>
      </c>
      <c r="B85" s="8" t="inlineStr">
        <is>
          <t>Cranioectodermal Dysplasia</t>
        </is>
      </c>
      <c r="C85" s="8" t="inlineStr">
        <is>
          <t>CED4</t>
        </is>
      </c>
      <c r="D85" s="8" t="inlineStr">
        <is>
          <t>614378</t>
        </is>
      </c>
      <c r="E85" s="8" t="inlineStr">
        <is>
          <t>OMIM:614378</t>
        </is>
      </c>
      <c r="F85" s="8" t="inlineStr">
        <is>
          <t>OMIM phenotype entry</t>
        </is>
      </c>
      <c r="G85" s="8" t="inlineStr">
        <is>
          <t>Primary</t>
        </is>
      </c>
      <c r="H85" s="8" t="inlineStr">
        <is>
          <t>Skeletal ciliopathy</t>
        </is>
      </c>
      <c r="I85" s="8" t="inlineStr">
        <is>
          <t>WDR19</t>
        </is>
      </c>
      <c r="J85" s="8" t="inlineStr">
        <is>
          <t>AR</t>
        </is>
      </c>
      <c r="K85" s="8" t="inlineStr">
        <is>
          <t>Eyes; Ears; Growth; Genitourinary; Immune system; Head and neck; Limbs; Nervous system; Respiratory; Skeletal; Skin</t>
        </is>
      </c>
      <c r="L85" s="8" t="n">
        <v>31</v>
      </c>
      <c r="M85" s="8" t="inlineStr">
        <is>
          <t>HP:0003774; HP:0000286; HP:0000662; HP:0000540; HP:0004322; HP:0000463; HP:0004442; HP:0001805; HP:0000319; HP:0010174; HP:0009882; HP:0000679; HP:6001070; HP:0006532; HP:0005528; HP:0000774; HP:0000411; HP:0000510; HP:0000973; HP:0001385; HP:0000233; HP:0000293; HP:0001382; HP:0033036; HP:0010554; HP:0008081; HP:0000767; HP:0000505; HP:0001319; HP:0002007; HP:0009836</t>
        </is>
      </c>
      <c r="N85" s="8" t="inlineStr">
        <is>
          <t>Yes</t>
        </is>
      </c>
      <c r="O85" s="8" t="n"/>
      <c r="P85" s="8" t="n"/>
    </row>
    <row r="86">
      <c r="A86" s="8" t="inlineStr">
        <is>
          <t>CILP_0085</t>
        </is>
      </c>
      <c r="B86" s="8" t="inlineStr">
        <is>
          <t>Cranioectodermal Dysplasia</t>
        </is>
      </c>
      <c r="C86" s="8" t="n"/>
      <c r="D86" s="8" t="n"/>
      <c r="E86" s="8" t="inlineStr">
        <is>
          <t>OMIM:218330; ORPHA:1515</t>
        </is>
      </c>
      <c r="F86" s="8" t="inlineStr">
        <is>
          <t>Orphanet entry (matched by disease name)</t>
        </is>
      </c>
      <c r="G86" s="8" t="inlineStr">
        <is>
          <t>Primary</t>
        </is>
      </c>
      <c r="H86" s="8" t="inlineStr">
        <is>
          <t>Skeletal ciliopathy</t>
        </is>
      </c>
      <c r="I86" s="8" t="inlineStr">
        <is>
          <t>IFT140; IFT52</t>
        </is>
      </c>
      <c r="J86" s="8" t="inlineStr">
        <is>
          <t>AR</t>
        </is>
      </c>
      <c r="K86" s="8" t="inlineStr">
        <is>
          <t>Abdomen; Eyes; Ears; Cardiovascular; Growth; Genitourinary; Immune system; Head and neck; Limbs; Nervous system; Metabolism; Respiratory; Skeletal; Skin</t>
        </is>
      </c>
      <c r="L86" s="8" t="n">
        <v>77</v>
      </c>
      <c r="M86" s="8" t="inlineStr">
        <is>
          <t>HP:0000286; HP:0003038; HP:0001970; HP:0004442; HP:0003071; HP:0012622; HP:0012623; HP:0000639; HP:0000954; HP:0001647; HP:0009466; HP:0001407; HP:0002217; HP:0000674; HP:0000556; HP:0001249; HP:0001382; HP:0000293; HP:0000691; HP:0001816; HP:0000968; HP:0000767; HP:0000601; HP:0002705; HP:0001538; HP:0002901; HP:0000369; HP:0000687; HP:0003774; HP:0030799; HP:0008905; HP:0001399; HP:0000023; HP:0001156; HP:0000463; HP:0001395; HP:0005792; HP:0002240; HP:0010306; HP:0032612; HP:0008070; HP:0000939; HP:0009880; HP:0009882; HP:0006297; HP:0000218; HP:0030084; HP:0000411; HP:0000774; HP:0000773; HP:0005567; HP:0002213; HP:0000431; HP:0000232; HP:0000506; HP:0001837; HP:0000668; HP:0006563; HP:0000348; HP:0002205; HP:0002007; HP:0000268; HP:0001799; HP:0000545; HP:0001831; HP:0001363; HP:0006101; HP:0000679; HP:0000682; HP:0004209; HP:0008499; HP:0000164; HP:0000269; HP:0000940; HP:0000944; HP:0001231; HP:0008388</t>
        </is>
      </c>
      <c r="N86" s="8" t="inlineStr">
        <is>
          <t>Yes</t>
        </is>
      </c>
      <c r="O86" s="8" t="n"/>
      <c r="P86" s="8" t="n"/>
    </row>
    <row r="87">
      <c r="A87" s="8" t="inlineStr">
        <is>
          <t>CILP_0086</t>
        </is>
      </c>
      <c r="B87" s="8" t="inlineStr">
        <is>
          <t>Ellis-van Creveld Syndrome</t>
        </is>
      </c>
      <c r="C87" s="8" t="inlineStr">
        <is>
          <t>EVC</t>
        </is>
      </c>
      <c r="D87" s="8" t="inlineStr">
        <is>
          <t>225500</t>
        </is>
      </c>
      <c r="E87" s="8" t="inlineStr">
        <is>
          <t>OMIM:225500</t>
        </is>
      </c>
      <c r="F87" s="8" t="inlineStr">
        <is>
          <t>OMIM phenotype entry</t>
        </is>
      </c>
      <c r="G87" s="8" t="inlineStr">
        <is>
          <t>Primary</t>
        </is>
      </c>
      <c r="H87" s="8" t="inlineStr">
        <is>
          <t>Skeletal ciliopathy</t>
        </is>
      </c>
      <c r="I87" s="8" t="inlineStr">
        <is>
          <t>EVC; EVC2</t>
        </is>
      </c>
      <c r="J87" s="8" t="inlineStr">
        <is>
          <t>AR</t>
        </is>
      </c>
      <c r="K87" s="8" t="inlineStr">
        <is>
          <t>Cardiovascular; Growth; Genitourinary; Head and neck; Limbs; Nervous system; Skeletal; Skin</t>
        </is>
      </c>
      <c r="L87" s="8" t="n">
        <v>29</v>
      </c>
      <c r="M87" s="8" t="inlineStr">
        <is>
          <t>HP:0000684; HP:0002164; HP:0008873; HP:0001305; HP:0006035; HP:0002857; HP:0006477; HP:0000774; HP:0000773; HP:0000039; HP:0001249; HP:0003026; HP:0000695; HP:0001762; HP:0001162; HP:0001241; HP:0011565; HP:0010454; HP:0000968; HP:0000668; HP:0000888; HP:0000768; HP:0008921; HP:0001830; HP:0000047; HP:0001631; HP:0002866; HP:0000028; HP:0000204</t>
        </is>
      </c>
      <c r="N87" s="8" t="inlineStr">
        <is>
          <t>No</t>
        </is>
      </c>
      <c r="O87" s="8" t="inlineStr">
        <is>
          <t>Disease family with fewer than 5 entries</t>
        </is>
      </c>
      <c r="P87" s="8" t="n"/>
    </row>
    <row r="88">
      <c r="A88" s="8" t="inlineStr">
        <is>
          <t>CILP_0087</t>
        </is>
      </c>
      <c r="B88" s="8" t="inlineStr">
        <is>
          <t>Greig Cephalopolysyndactyly Syndrome</t>
        </is>
      </c>
      <c r="C88" s="8" t="inlineStr">
        <is>
          <t>GCPS</t>
        </is>
      </c>
      <c r="D88" s="8" t="inlineStr">
        <is>
          <t>175700</t>
        </is>
      </c>
      <c r="E88" s="8" t="inlineStr">
        <is>
          <t>OMIM:175700</t>
        </is>
      </c>
      <c r="F88" s="8" t="inlineStr">
        <is>
          <t>OMIM phenotype entry</t>
        </is>
      </c>
      <c r="G88" s="8" t="inlineStr">
        <is>
          <t>Primary</t>
        </is>
      </c>
      <c r="H88" s="8" t="inlineStr">
        <is>
          <t>Skeletal ciliopathy</t>
        </is>
      </c>
      <c r="I88" s="8" t="inlineStr">
        <is>
          <t>GLI3</t>
        </is>
      </c>
      <c r="J88" s="8" t="inlineStr">
        <is>
          <t>AD</t>
        </is>
      </c>
      <c r="K88" s="8" t="inlineStr">
        <is>
          <t>Abdomen; Eyes; Cardiovascular; Genitourinary; Head and neck; Limbs; Nervous system; Metabolism; Skeletal; Skin</t>
        </is>
      </c>
      <c r="L88" s="8" t="n">
        <v>51</v>
      </c>
      <c r="M88" s="8" t="inlineStr">
        <is>
          <t>HP:0011939; HP:0001177; HP:0002023; HP:0001256; HP:0000563; HP:0000243; HP:0001250; HP:0003074; HP:0010567; HP:0010055; HP:0000316; HP:0000238; HP:0001841; HP:0001007; HP:0000494; HP:0002079; HP:0001263; HP:0011330; HP:0001537; HP:0001459; HP:0001539; HP:0005616; HP:0000047; HP:0004303; HP:0030799; HP:0002683; HP:0001156; HP:0000023; HP:0002164; HP:0001274; HP:0001627; HP:0002119; HP:0000256; HP:0001363; HP:0000750; HP:0000431; HP:0001321; HP:0001162; HP:0000270; HP:0010059; HP:0011304; HP:0009473; HP:0006042; HP:0000348; HP:0001836; HP:0000268; HP:0002007; HP:0001830; HP:0001159; HP:0001631; HP:0000028</t>
        </is>
      </c>
      <c r="N88" s="8" t="inlineStr">
        <is>
          <t>No</t>
        </is>
      </c>
      <c r="O88" s="8" t="inlineStr">
        <is>
          <t>Disease family with fewer than 5 entries</t>
        </is>
      </c>
      <c r="P88" s="8" t="n"/>
    </row>
    <row r="89">
      <c r="A89" s="8" t="inlineStr">
        <is>
          <t>CILP_0088</t>
        </is>
      </c>
      <c r="B89" s="8" t="inlineStr">
        <is>
          <t>Holoprosencephaly</t>
        </is>
      </c>
      <c r="C89" s="8" t="inlineStr">
        <is>
          <t>HPE3</t>
        </is>
      </c>
      <c r="D89" s="8" t="inlineStr">
        <is>
          <t>142945</t>
        </is>
      </c>
      <c r="E89" s="8" t="inlineStr">
        <is>
          <t>OMIM:142945</t>
        </is>
      </c>
      <c r="F89" s="8" t="inlineStr">
        <is>
          <t>OMIM phenotype entry</t>
        </is>
      </c>
      <c r="G89" s="8" t="inlineStr">
        <is>
          <t>Secondary</t>
        </is>
      </c>
      <c r="H89" s="8" t="inlineStr">
        <is>
          <t>Neurodevelopmental ciliopathy</t>
        </is>
      </c>
      <c r="I89" s="8" t="inlineStr">
        <is>
          <t>SHH</t>
        </is>
      </c>
      <c r="J89" s="8" t="inlineStr">
        <is>
          <t>INCOMPLETE_PENETRANCE; AD</t>
        </is>
      </c>
      <c r="K89" s="8" t="inlineStr">
        <is>
          <t>Eyes; Endocrine; Genitourinary; Head and neck; Nervous system; Skeletal</t>
        </is>
      </c>
      <c r="L89" s="8" t="n">
        <v>21</v>
      </c>
      <c r="M89" s="8" t="inlineStr">
        <is>
          <t>HP:0009914; HP:0000252; HP:0000175; HP:0001360; HP:0000193; HP:0002000; HP:0012806; HP:0001263; HP:0000272; HP:0011800; HP:0410030; HP:0005280; HP:0000601; HP:0002119; HP:0000366; HP:0000520; HP:0009932; HP:0006315; HP:0001249; HP:0000126; HP:0000863</t>
        </is>
      </c>
      <c r="N89" s="8" t="inlineStr">
        <is>
          <t>Yes</t>
        </is>
      </c>
      <c r="O89" s="8" t="n"/>
      <c r="P89" s="8" t="n"/>
    </row>
    <row r="90">
      <c r="A90" s="8" t="inlineStr">
        <is>
          <t>CILP_0089</t>
        </is>
      </c>
      <c r="B90" s="8" t="inlineStr">
        <is>
          <t>Holoprosencephaly</t>
        </is>
      </c>
      <c r="C90" s="8" t="inlineStr">
        <is>
          <t>HPE4</t>
        </is>
      </c>
      <c r="D90" s="8" t="inlineStr">
        <is>
          <t>142946</t>
        </is>
      </c>
      <c r="E90" s="8" t="inlineStr">
        <is>
          <t>OMIM:142946</t>
        </is>
      </c>
      <c r="F90" s="8" t="inlineStr">
        <is>
          <t>OMIM phenotype entry</t>
        </is>
      </c>
      <c r="G90" s="8" t="inlineStr">
        <is>
          <t>Secondary</t>
        </is>
      </c>
      <c r="H90" s="8" t="inlineStr">
        <is>
          <t>Neurodevelopmental ciliopathy</t>
        </is>
      </c>
      <c r="I90" s="8" t="inlineStr">
        <is>
          <t>TGIF1</t>
        </is>
      </c>
      <c r="J90" s="8" t="inlineStr">
        <is>
          <t>AD</t>
        </is>
      </c>
      <c r="K90" s="8" t="inlineStr">
        <is>
          <t>Eyes; Endocrine; Head and neck; Nervous system; Skeletal</t>
        </is>
      </c>
      <c r="L90" s="8" t="n">
        <v>15</v>
      </c>
      <c r="M90" s="8" t="inlineStr">
        <is>
          <t>HP:0000252; HP:0001332; HP:0000161; HP:0001250; HP:0005273; HP:0010757; HP:0005280; HP:0009099; HP:0000508; HP:0000437; HP:0006870; HP:0000601; HP:0002507; HP:0000873; HP:0020128</t>
        </is>
      </c>
      <c r="N90" s="8" t="inlineStr">
        <is>
          <t>Yes</t>
        </is>
      </c>
      <c r="O90" s="8" t="n"/>
      <c r="P90" s="8" t="n"/>
    </row>
    <row r="91">
      <c r="A91" s="8" t="inlineStr">
        <is>
          <t>CILP_0090</t>
        </is>
      </c>
      <c r="B91" s="8" t="inlineStr">
        <is>
          <t>Holoprosencephaly</t>
        </is>
      </c>
      <c r="C91" s="8" t="inlineStr">
        <is>
          <t>HPE2</t>
        </is>
      </c>
      <c r="D91" s="8" t="inlineStr">
        <is>
          <t>157170</t>
        </is>
      </c>
      <c r="E91" s="8" t="inlineStr">
        <is>
          <t>OMIM:157170</t>
        </is>
      </c>
      <c r="F91" s="8" t="inlineStr">
        <is>
          <t>OMIM phenotype entry</t>
        </is>
      </c>
      <c r="G91" s="8" t="inlineStr">
        <is>
          <t>Secondary</t>
        </is>
      </c>
      <c r="H91" s="8" t="inlineStr">
        <is>
          <t>Neurodevelopmental ciliopathy</t>
        </is>
      </c>
      <c r="I91" s="8" t="inlineStr">
        <is>
          <t>SIX3</t>
        </is>
      </c>
      <c r="J91" s="8" t="inlineStr">
        <is>
          <t>INCOMPLETE_PENETRANCE; SPORADIC; AD</t>
        </is>
      </c>
      <c r="K91" s="8" t="inlineStr">
        <is>
          <t>Abdomen; Eyes; Cardiovascular; Endocrine; Head and neck; Nervous system; Skeletal</t>
        </is>
      </c>
      <c r="L91" s="8" t="n">
        <v>37</v>
      </c>
      <c r="M91" s="8" t="inlineStr">
        <is>
          <t>HP:0006988; HP:0009914; HP:0010626; HP:0001750; HP:0001250; HP:0000161; HP:0001274; HP:0001252; HP:0012806; HP:0001290; HP:0005273; HP:0010941; HP:0000612; HP:0000835; HP:0000873; HP:0002019; HP:0001249; HP:0006315; HP:0000176; HP:0000252; HP:0007968; HP:0002650; HP:0001321; HP:0001360; HP:0000193; HP:0001263; HP:0000272; HP:0011800; HP:0010757; HP:0100336; HP:0100337; HP:0009099; HP:0000601; HP:0000568; HP:0002507; HP:0000520; HP:0000567</t>
        </is>
      </c>
      <c r="N91" s="8" t="inlineStr">
        <is>
          <t>Yes</t>
        </is>
      </c>
      <c r="O91" s="8" t="n"/>
      <c r="P91" s="8" t="n"/>
    </row>
    <row r="92">
      <c r="A92" s="8" t="inlineStr">
        <is>
          <t>CILP_0091</t>
        </is>
      </c>
      <c r="B92" s="8" t="inlineStr">
        <is>
          <t>Holoprosencephaly</t>
        </is>
      </c>
      <c r="C92" s="8" t="inlineStr">
        <is>
          <t>HPE13</t>
        </is>
      </c>
      <c r="D92" s="8" t="inlineStr">
        <is>
          <t>301043</t>
        </is>
      </c>
      <c r="E92" s="8" t="inlineStr">
        <is>
          <t>OMIM:301043</t>
        </is>
      </c>
      <c r="F92" s="8" t="inlineStr">
        <is>
          <t>OMIM phenotype entry</t>
        </is>
      </c>
      <c r="G92" s="8" t="inlineStr">
        <is>
          <t>Secondary</t>
        </is>
      </c>
      <c r="H92" s="8" t="inlineStr">
        <is>
          <t>Neurodevelopmental ciliopathy</t>
        </is>
      </c>
      <c r="I92" s="8" t="inlineStr">
        <is>
          <t>STAG2</t>
        </is>
      </c>
      <c r="J92" s="8" t="inlineStr">
        <is>
          <t>XLR</t>
        </is>
      </c>
      <c r="K92" s="8" t="inlineStr">
        <is>
          <t>Abdomen; Eyes; Ears; Cardiovascular; Head and neck; Nervous system; Skeletal</t>
        </is>
      </c>
      <c r="L92" s="8" t="n">
        <v>31</v>
      </c>
      <c r="M92" s="8" t="inlineStr">
        <is>
          <t>HP:0006988; HP:0009914; HP:0000365; HP:0000161; HP:0001250; HP:0001274; HP:0002020; HP:0004383; HP:0100842; HP:0001629; HP:0008551; HP:0001643; HP:0001249; HP:0006315; HP:0000176; HP:0000175; HP:0000252; HP:0030048; HP:0009927; HP:0001263; HP:0000609; HP:0009099; HP:0001719; HP:0002507; HP:0008467; HP:0003316; HP:0000347; HP:0000369; HP:0008428; HP:0002247; HP:0001655</t>
        </is>
      </c>
      <c r="N92" s="8" t="inlineStr">
        <is>
          <t>Yes</t>
        </is>
      </c>
      <c r="O92" s="8" t="n"/>
      <c r="P92" s="8" t="n"/>
    </row>
    <row r="93">
      <c r="A93" s="8" t="inlineStr">
        <is>
          <t>CILP_0092</t>
        </is>
      </c>
      <c r="B93" s="8" t="inlineStr">
        <is>
          <t>Holoprosencephaly</t>
        </is>
      </c>
      <c r="C93" s="8" t="inlineStr">
        <is>
          <t>HPE5</t>
        </is>
      </c>
      <c r="D93" s="8" t="inlineStr">
        <is>
          <t>609637</t>
        </is>
      </c>
      <c r="E93" s="8" t="inlineStr">
        <is>
          <t>OMIM:609637</t>
        </is>
      </c>
      <c r="F93" s="8" t="inlineStr">
        <is>
          <t>OMIM phenotype entry</t>
        </is>
      </c>
      <c r="G93" s="8" t="inlineStr">
        <is>
          <t>Secondary</t>
        </is>
      </c>
      <c r="H93" s="8" t="inlineStr">
        <is>
          <t>Neurodevelopmental ciliopathy</t>
        </is>
      </c>
      <c r="I93" s="8" t="inlineStr">
        <is>
          <t>ZIC2</t>
        </is>
      </c>
      <c r="J93" s="8" t="inlineStr">
        <is>
          <t>AD</t>
        </is>
      </c>
      <c r="K93" s="8" t="inlineStr">
        <is>
          <t>Eyes; Ears; Endocrine; Head and neck; Nervous system; Skeletal; Skin</t>
        </is>
      </c>
      <c r="L93" s="8" t="n">
        <v>34</v>
      </c>
      <c r="M93" s="8" t="inlineStr">
        <is>
          <t>HP:0006988; HP:0000341; HP:0000340; HP:0000582; HP:0000463; HP:0002002; HP:0000243; HP:0001272; HP:0001250; HP:0100702; HP:0000316; HP:0006870; HP:0000337; HP:0000238; HP:0002119; HP:0000218; HP:0001249; HP:0001347; HP:0032549; HP:0006956; HP:0000252; HP:0025670; HP:0001360; HP:0001263; HP:0005280; HP:0012385; HP:0000348; HP:0000601; HP:0002507; HP:0000400; HP:0000202; HP:0000664; HP:0000520; HP:0000863</t>
        </is>
      </c>
      <c r="N93" s="8" t="inlineStr">
        <is>
          <t>Yes</t>
        </is>
      </c>
      <c r="O93" s="8" t="n"/>
      <c r="P93" s="8" t="n"/>
    </row>
    <row r="94">
      <c r="A94" s="8" t="inlineStr">
        <is>
          <t>CILP_0093</t>
        </is>
      </c>
      <c r="B94" s="8" t="inlineStr">
        <is>
          <t>Holoprosencephaly</t>
        </is>
      </c>
      <c r="C94" s="8" t="inlineStr">
        <is>
          <t>HPE7</t>
        </is>
      </c>
      <c r="D94" s="8" t="inlineStr">
        <is>
          <t>610828</t>
        </is>
      </c>
      <c r="E94" s="8" t="inlineStr">
        <is>
          <t>OMIM:610828</t>
        </is>
      </c>
      <c r="F94" s="8" t="inlineStr">
        <is>
          <t>OMIM phenotype entry</t>
        </is>
      </c>
      <c r="G94" s="8" t="inlineStr">
        <is>
          <t>Secondary</t>
        </is>
      </c>
      <c r="H94" s="8" t="inlineStr">
        <is>
          <t>Neurodevelopmental ciliopathy</t>
        </is>
      </c>
      <c r="I94" s="8" t="inlineStr">
        <is>
          <t>PTCH1</t>
        </is>
      </c>
      <c r="J94" s="8" t="inlineStr">
        <is>
          <t>INCOMPLETE_PENETRANCE; AD</t>
        </is>
      </c>
      <c r="K94" s="8" t="inlineStr">
        <is>
          <t>Abdomen; Eyes; Ears; Endocrine; Head and neck; Nervous system; Skeletal; Skin</t>
        </is>
      </c>
      <c r="L94" s="8" t="n">
        <v>50</v>
      </c>
      <c r="M94" s="8" t="inlineStr">
        <is>
          <t>HP:0006988; HP:0000242; HP:0010649; HP:0000161; HP:0001250; HP:0004122; HP:0003196; HP:0000283; HP:0100333; HP:0010650; HP:0000437; HP:0000316; HP:0006870; HP:0000238; HP:0006315; HP:0005469; HP:0000175; HP:0000252; HP:0005104; HP:0011803; HP:0001263; HP:0011800; HP:0100336; HP:0100337; HP:0100334; HP:0009099; HP:0009891; HP:0000601; HP:0000568; HP:0001338; HP:0002507; HP:0001539; HP:0007633; HP:0000400; HP:0000582; HP:0002365; HP:0001274; HP:0005273; HP:0010664; HP:0012368; HP:0000612; HP:0002436; HP:0000256; HP:0000871; HP:0000431; HP:0001360; HP:0002007; HP:0000664; HP:0000267; HP:0000586</t>
        </is>
      </c>
      <c r="N94" s="8" t="inlineStr">
        <is>
          <t>Yes</t>
        </is>
      </c>
      <c r="O94" s="8" t="n"/>
      <c r="P94" s="8" t="n"/>
    </row>
    <row r="95">
      <c r="A95" s="8" t="inlineStr">
        <is>
          <t>CILP_0094</t>
        </is>
      </c>
      <c r="B95" s="8" t="inlineStr">
        <is>
          <t>Holoprosencephaly</t>
        </is>
      </c>
      <c r="C95" s="8" t="inlineStr">
        <is>
          <t>HPE9</t>
        </is>
      </c>
      <c r="D95" s="8" t="inlineStr">
        <is>
          <t>610829</t>
        </is>
      </c>
      <c r="E95" s="8" t="inlineStr">
        <is>
          <t>OMIM:610829</t>
        </is>
      </c>
      <c r="F95" s="8" t="inlineStr">
        <is>
          <t>OMIM phenotype entry</t>
        </is>
      </c>
      <c r="G95" s="8" t="inlineStr">
        <is>
          <t>Secondary</t>
        </is>
      </c>
      <c r="H95" s="8" t="inlineStr">
        <is>
          <t>Neurodevelopmental ciliopathy</t>
        </is>
      </c>
      <c r="I95" s="8" t="inlineStr">
        <is>
          <t>GLI2</t>
        </is>
      </c>
      <c r="J95" s="8" t="inlineStr">
        <is>
          <t>INCOMPLETE_PENETRANCE; SPORADIC; AD</t>
        </is>
      </c>
      <c r="K95" s="8" t="inlineStr">
        <is>
          <t>Eyes; Ears; Endocrine; Growth; Genitourinary; Head and neck; Limbs; Nervous system; Skeletal; Skin</t>
        </is>
      </c>
      <c r="L95" s="8" t="n">
        <v>56</v>
      </c>
      <c r="M95" s="8" t="inlineStr">
        <is>
          <t>HP:0006988; HP:0000286; HP:0004322; HP:0001250; HP:0003196; HP:0001092; HP:0033725; HP:0010650; HP:0011220; HP:0000238; HP:0010290; HP:0002536; HP:0000358; HP:0006315; HP:0000175; HP:0000252; HP:0000054; HP:0000453; HP:0001263; HP:0011800; HP:0100336; HP:0100337; HP:0000609; HP:0000528; HP:0000327; HP:0000689; HP:0000601; HP:0000568; HP:0001338; HP:0000400; HP:0000322; HP:0009932; HP:0000204; HP:0000324; HP:0000384; HP:0010627; HP:0010626; HP:0000260; HP:0010864; HP:0002714; HP:0000455; HP:0002436; HP:0000179; HP:0000395; HP:0000871; HP:0001360; HP:0001162; HP:0000272; HP:0000470; HP:0005280; HP:0100960; HP:0011272; HP:0000508; HP:0006485; HP:0000824; HP:0000028</t>
        </is>
      </c>
      <c r="N95" s="8" t="inlineStr">
        <is>
          <t>Yes</t>
        </is>
      </c>
      <c r="O95" s="8" t="n"/>
      <c r="P95" s="8" t="n"/>
    </row>
    <row r="96">
      <c r="A96" s="8" t="inlineStr">
        <is>
          <t>CILP_0095</t>
        </is>
      </c>
      <c r="B96" s="8" t="inlineStr">
        <is>
          <t>Holoprosencephaly</t>
        </is>
      </c>
      <c r="C96" s="8" t="inlineStr">
        <is>
          <t>HPE11</t>
        </is>
      </c>
      <c r="D96" s="8" t="inlineStr">
        <is>
          <t>614226</t>
        </is>
      </c>
      <c r="E96" s="8" t="inlineStr">
        <is>
          <t>OMIM:614226</t>
        </is>
      </c>
      <c r="F96" s="8" t="inlineStr">
        <is>
          <t>OMIM phenotype entry</t>
        </is>
      </c>
      <c r="G96" s="8" t="inlineStr">
        <is>
          <t>Secondary</t>
        </is>
      </c>
      <c r="H96" s="8" t="inlineStr">
        <is>
          <t>Neurodevelopmental ciliopathy</t>
        </is>
      </c>
      <c r="I96" s="8" t="inlineStr">
        <is>
          <t>CDON</t>
        </is>
      </c>
      <c r="J96" s="8" t="inlineStr">
        <is>
          <t>SPORADIC; AD</t>
        </is>
      </c>
      <c r="K96" s="8" t="inlineStr">
        <is>
          <t>Abdomen; Eyes; Cardiovascular; Immune system; Head and neck; Nervous system; Skeletal; Skin</t>
        </is>
      </c>
      <c r="L96" s="8" t="n">
        <v>11</v>
      </c>
      <c r="M96" s="8" t="inlineStr">
        <is>
          <t>HP:0000252; HP:0000175; HP:0000574; HP:0001360; HP:0001274; HP:0001263; HP:0410030; HP:0000601; HP:0001748; HP:0000664; HP:0000520</t>
        </is>
      </c>
      <c r="N96" s="8" t="inlineStr">
        <is>
          <t>Yes</t>
        </is>
      </c>
      <c r="O96" s="8" t="n"/>
      <c r="P96" s="8" t="n"/>
    </row>
    <row r="97">
      <c r="A97" s="8" t="inlineStr">
        <is>
          <t>CILP_0096</t>
        </is>
      </c>
      <c r="B97" s="8" t="inlineStr">
        <is>
          <t>Holoprosencephaly</t>
        </is>
      </c>
      <c r="C97" s="8" t="inlineStr">
        <is>
          <t>HPE12</t>
        </is>
      </c>
      <c r="D97" s="8" t="inlineStr">
        <is>
          <t>618500</t>
        </is>
      </c>
      <c r="E97" s="8" t="inlineStr">
        <is>
          <t>OMIM:618500</t>
        </is>
      </c>
      <c r="F97" s="8" t="inlineStr">
        <is>
          <t>OMIM phenotype entry</t>
        </is>
      </c>
      <c r="G97" s="8" t="inlineStr">
        <is>
          <t>Secondary</t>
        </is>
      </c>
      <c r="H97" s="8" t="inlineStr">
        <is>
          <t>Neurodevelopmental ciliopathy</t>
        </is>
      </c>
      <c r="I97" s="8" t="inlineStr">
        <is>
          <t>CNOT1</t>
        </is>
      </c>
      <c r="J97" s="8" t="inlineStr">
        <is>
          <t>AD</t>
        </is>
      </c>
      <c r="K97" s="8" t="inlineStr">
        <is>
          <t>Abdomen; Eyes; Ears; Endocrine; Growth; Head and neck; Limbs; Nervous system; Metabolism; Skeletal</t>
        </is>
      </c>
      <c r="L97" s="8" t="n">
        <v>35</v>
      </c>
      <c r="M97" s="8" t="inlineStr">
        <is>
          <t>HP:0001331; HP:0000286; HP:0000340; HP:0001234; HP:0000343; HP:0002384; HP:0001250; HP:0001274; HP:0001290; HP:0010669; HP:0100651; HP:0031964; HP:0008551; HP:0100801; HP:0006870; HP:0000218; HP:0000873; HP:0001324; HP:0000252; HP:0002079; HP:0001263; HP:0011467; HP:0030948; HP:0005280; HP:0001738; HP:0000407; HP:0001518; HP:0000601; HP:0002507; HP:0000405; HP:0001511; HP:0001510; HP:0001257; HP:0000369; HP:0000269</t>
        </is>
      </c>
      <c r="N97" s="8" t="inlineStr">
        <is>
          <t>Yes</t>
        </is>
      </c>
      <c r="O97" s="8" t="n"/>
      <c r="P97" s="8" t="n"/>
    </row>
    <row r="98">
      <c r="A98" s="8" t="inlineStr">
        <is>
          <t>CILP_0097</t>
        </is>
      </c>
      <c r="B98" s="8" t="inlineStr">
        <is>
          <t>Hydrolethalus Syndrome</t>
        </is>
      </c>
      <c r="C98" s="8" t="inlineStr">
        <is>
          <t>HLS1</t>
        </is>
      </c>
      <c r="D98" s="8" t="inlineStr">
        <is>
          <t>236680</t>
        </is>
      </c>
      <c r="E98" s="8" t="inlineStr">
        <is>
          <t>OMIM:236680</t>
        </is>
      </c>
      <c r="F98" s="8" t="inlineStr">
        <is>
          <t>OMIM phenotype entry</t>
        </is>
      </c>
      <c r="G98" s="8" t="inlineStr">
        <is>
          <t>Primary</t>
        </is>
      </c>
      <c r="H98" s="8" t="inlineStr">
        <is>
          <t>Neurodevelopmental ciliopathy</t>
        </is>
      </c>
      <c r="I98" s="8" t="inlineStr">
        <is>
          <t>HYLS1</t>
        </is>
      </c>
      <c r="J98" s="8" t="inlineStr">
        <is>
          <t>AR</t>
        </is>
      </c>
      <c r="K98" s="8" t="inlineStr">
        <is>
          <t>Abdomen; Eyes; Ears; Cardiovascular; Endocrine; Growth; Genitourinary; Immune system; Head and neck; Limbs; Nervous system; Respiratory; Skeletal</t>
        </is>
      </c>
      <c r="L98" s="8" t="n">
        <v>39</v>
      </c>
      <c r="M98" s="8" t="inlineStr">
        <is>
          <t>HP:0001331; HP:0008749; HP:0001177; HP:0000142; HP:0002323; HP:0001674; HP:0002101; HP:0000161; HP:0004122; HP:0001274; HP:0002282; HP:0001629; HP:0001305; HP:0001747; HP:0002139; HP:0006379; HP:0002777; HP:0000136; HP:0002536; HP:0000377; HP:0008216; HP:0009824; HP:0000175; HP:0001561; HP:0000475; HP:0001762; HP:0011803; HP:0001162; HP:0010066; HP:0009752; HP:0000568; HP:0006882; HP:0001539; HP:0001511; HP:0008986; HP:0000047; HP:0000369; HP:0000347; HP:0000126</t>
        </is>
      </c>
      <c r="N98" s="8" t="inlineStr">
        <is>
          <t>No</t>
        </is>
      </c>
      <c r="O98" s="8" t="inlineStr">
        <is>
          <t>Disease family with fewer than 5 entries</t>
        </is>
      </c>
      <c r="P98" s="8" t="n"/>
    </row>
    <row r="99">
      <c r="A99" s="8" t="inlineStr">
        <is>
          <t>CILP_0098</t>
        </is>
      </c>
      <c r="B99" s="8" t="inlineStr">
        <is>
          <t>Hydrolethalus Syndrome</t>
        </is>
      </c>
      <c r="C99" s="8" t="inlineStr">
        <is>
          <t>HLS2</t>
        </is>
      </c>
      <c r="D99" s="8" t="inlineStr">
        <is>
          <t>614120</t>
        </is>
      </c>
      <c r="E99" s="8" t="inlineStr">
        <is>
          <t>OMIM:614120</t>
        </is>
      </c>
      <c r="F99" s="8" t="inlineStr">
        <is>
          <t>OMIM phenotype entry</t>
        </is>
      </c>
      <c r="G99" s="8" t="inlineStr">
        <is>
          <t>Primary</t>
        </is>
      </c>
      <c r="H99" s="8" t="inlineStr">
        <is>
          <t>Neurodevelopmental ciliopathy</t>
        </is>
      </c>
      <c r="I99" s="8" t="inlineStr">
        <is>
          <t>KIF7</t>
        </is>
      </c>
      <c r="J99" s="8" t="inlineStr">
        <is>
          <t>AR</t>
        </is>
      </c>
      <c r="K99" s="8" t="inlineStr">
        <is>
          <t>Head and neck; Limbs; Nervous system; Skeletal</t>
        </is>
      </c>
      <c r="L99" s="8" t="n">
        <v>10</v>
      </c>
      <c r="M99" s="8" t="inlineStr">
        <is>
          <t>HP:0000175; HP:0002323; HP:0001162; HP:0001274; HP:0000238; HP:0002419; HP:0002119; HP:0001830; HP:0001841; HP:0000347</t>
        </is>
      </c>
      <c r="N99" s="8" t="inlineStr">
        <is>
          <t>No</t>
        </is>
      </c>
      <c r="O99" s="8" t="inlineStr">
        <is>
          <t>Disease family with fewer than 5 entries</t>
        </is>
      </c>
      <c r="P99" s="8" t="n"/>
    </row>
    <row r="100">
      <c r="A100" s="8" t="inlineStr">
        <is>
          <t>CILP_0099</t>
        </is>
      </c>
      <c r="B100" s="8" t="inlineStr">
        <is>
          <t>Infantile Polycystic Kidney Disease</t>
        </is>
      </c>
      <c r="C100" s="8" t="inlineStr">
        <is>
          <t>PKD</t>
        </is>
      </c>
      <c r="D100" s="8" t="n"/>
      <c r="E100" s="8" t="inlineStr">
        <is>
          <t>OMIM:263200; OMIM:600273; OMIM:600666; OMIM:613095; OMIM:617610; OMIM:618061; OMIM:620056; OMIM:620903; OMIM:621164; ORPHA:730; ORPHA:731</t>
        </is>
      </c>
      <c r="F100" s="8" t="inlineStr">
        <is>
          <t>Family-level record (combined OMIM and Orphanet entries)</t>
        </is>
      </c>
      <c r="G100" s="8" t="inlineStr">
        <is>
          <t>Primary</t>
        </is>
      </c>
      <c r="H100" s="8" t="inlineStr">
        <is>
          <t>Renal-hepatic ciliopathy</t>
        </is>
      </c>
      <c r="I100" s="8" t="inlineStr">
        <is>
          <t>HNF1B</t>
        </is>
      </c>
      <c r="J100" s="8" t="inlineStr">
        <is>
          <t>INCOMPLETE_PENETRANCE; AD; AR</t>
        </is>
      </c>
      <c r="K100" s="8" t="inlineStr">
        <is>
          <t>Abdomen; Ears; Cardiovascular; Endocrine; Growth; Genitourinary; Immune system; Head and neck; Limbs; Nervous system; Metabolism; Respiratory; Skeletal; Skin</t>
        </is>
      </c>
      <c r="L100" s="8" t="n">
        <v>107</v>
      </c>
      <c r="M100" s="8" t="inlineStr">
        <is>
          <t>HP:0003774; HP:0000010; HP:0001696; HP:0001651; HP:0003155; HP:0000083; HP:0005562; HP:0002240; HP:0011800; HP:0030948; HP:0006254; HP:0000822; HP:0001407; HP:0002900; HP:0000113; HP:0003259; HP:0000952; HP:0000324; HP:0012213; HP:0001997; HP:0001410; HP:0004944; HP:0009717; HP:0006772; HP:0000023; HP:0000074; HP:0012624; HP:0012625; HP:0000093; HP:0012626; HP:0033261; HP:0000003; HP:0000787; HP:0001634; HP:0002089; HP:0005576; HP:0001395; HP:0002040; HP:0001409; HP:0004719; HP:0001944; HP:0001405; HP:0001744; HP:0008659; HP:0001562; HP:0005564; HP:0000107; HP:0001737; HP:0002009; HP:0000105; HP:0002248; HP:0004322; HP:0000097; HP:0000090; HP:0001959; HP:0001712; HP:0000103; HP:0012585; HP:0032948; HP:0005565; HP:0001433; HP:0001396; HP:0001510; HP:0001971; HP:0002612; HP:0002630; HP:0002878; HP:0002902; HP:0004905; HP:0006560; HP:0011040; HP:0011892; HP:0011968; HP:0012202; HP:0100512; HP:0100513; HP:0001541; HP:0001873; HP:0001919; HP:0002239; HP:0002243; HP:0002791; HP:0002884; HP:0006532; HP:0030151; HP:0100520; HP:0000347; HP:0000369; HP:0000457; HP:0002108; HP:0030153; HP:0040064; HP:0100543; HP:0000790; HP:0012591; HP:0012592; HP:0012622; HP:0030157; HP:0000791; HP:0002616; HP:0006557; HP:0008672; HP:0011004; HP:0012207; HP:0012330; HP:0100702; HP:0011760</t>
        </is>
      </c>
      <c r="N100" s="8" t="inlineStr">
        <is>
          <t>No</t>
        </is>
      </c>
      <c r="O100" s="8" t="inlineStr">
        <is>
          <t>Disease family with fewer than 5 entries</t>
        </is>
      </c>
      <c r="P100" s="8" t="n"/>
    </row>
    <row r="101">
      <c r="A101" s="8" t="inlineStr">
        <is>
          <t>CILP_0100</t>
        </is>
      </c>
      <c r="B101" s="8" t="inlineStr">
        <is>
          <t>Joubert Syndrome</t>
        </is>
      </c>
      <c r="C101" s="8" t="inlineStr">
        <is>
          <t>JBTS12</t>
        </is>
      </c>
      <c r="D101" s="8" t="inlineStr">
        <is>
          <t>200990</t>
        </is>
      </c>
      <c r="E101" s="8" t="inlineStr">
        <is>
          <t>OMIM:200990</t>
        </is>
      </c>
      <c r="F101" s="8" t="inlineStr">
        <is>
          <t>OMIM phenotype entry</t>
        </is>
      </c>
      <c r="G101" s="8" t="inlineStr">
        <is>
          <t>Primary</t>
        </is>
      </c>
      <c r="H101" s="8" t="inlineStr">
        <is>
          <t>Neurodevelopmental ciliopathy</t>
        </is>
      </c>
      <c r="I101" s="8" t="inlineStr">
        <is>
          <t>KIF7</t>
        </is>
      </c>
      <c r="J101" s="8" t="inlineStr">
        <is>
          <t>AR</t>
        </is>
      </c>
      <c r="K101" s="8" t="inlineStr">
        <is>
          <t>Abdomen; Eyes; Ears; Cardiovascular; Growth; Genitourinary; Head and neck; Limbs; Nervous system; Skeletal; Skin</t>
        </is>
      </c>
      <c r="L101" s="8" t="n">
        <v>81</v>
      </c>
      <c r="M101" s="8" t="inlineStr">
        <is>
          <t>HP:0001177; HP:0000286; HP:0001770; HP:0000486; HP:0000365; HP:0010803; HP:0002023; HP:0001250; HP:0002263; HP:0010808; HP:0000160; HP:0003196; HP:0001252; HP:0001290; HP:0010291; HP:0000639; HP:0000319; HP:0012471; HP:0011220; HP:0000316; HP:0008897; HP:0009942; HP:0001841; HP:0000358; HP:0001249; HP:0000054; HP:0000494; HP:0000175; HP:0005148; HP:0001182; HP:0001537; HP:0006101; HP:0000648; HP:0000207; HP:0004209; HP:0009611; HP:0000322; HP:0000047; HP:0000685; HP:0000369; HP:0000204; HP:0000143; HP:0000384; HP:0006329; HP:0001671; HP:0000343; HP:0000023; HP:0001156; HP:0000260; HP:0001274; HP:0010864; HP:0001508; HP:0000337; HP:0030680; HP:0000218; HP:0002714; HP:0006335; HP:0000256; HP:0000212; HP:0000377; HP:0000154; HP:0000431; HP:0000233; HP:0001641; HP:0001162; HP:0000194; HP:0003781; HP:0000193; HP:0000190; HP:0010576; HP:0007370; HP:0000308; HP:0010066; HP:0007894; HP:0001830; HP:0002007; HP:0001510; HP:0000303; HP:0000028; HP:0000589; HP:0000269</t>
        </is>
      </c>
      <c r="N101" s="8" t="inlineStr">
        <is>
          <t>Yes</t>
        </is>
      </c>
      <c r="O101" s="8" t="n"/>
      <c r="P101" s="8" t="n"/>
    </row>
    <row r="102">
      <c r="A102" s="8" t="inlineStr">
        <is>
          <t>CILP_0101</t>
        </is>
      </c>
      <c r="B102" s="8" t="inlineStr">
        <is>
          <t>Joubert Syndrome</t>
        </is>
      </c>
      <c r="C102" s="8" t="inlineStr">
        <is>
          <t>JBTS1</t>
        </is>
      </c>
      <c r="D102" s="8" t="inlineStr">
        <is>
          <t>213300</t>
        </is>
      </c>
      <c r="E102" s="8" t="inlineStr">
        <is>
          <t>OMIM:213300</t>
        </is>
      </c>
      <c r="F102" s="8" t="inlineStr">
        <is>
          <t>OMIM phenotype entry</t>
        </is>
      </c>
      <c r="G102" s="8" t="inlineStr">
        <is>
          <t>Primary</t>
        </is>
      </c>
      <c r="H102" s="8" t="inlineStr">
        <is>
          <t>Neurodevelopmental ciliopathy</t>
        </is>
      </c>
      <c r="I102" s="8" t="inlineStr">
        <is>
          <t>INPP5E</t>
        </is>
      </c>
      <c r="J102" s="8" t="inlineStr">
        <is>
          <t>AR</t>
        </is>
      </c>
      <c r="K102" s="8" t="inlineStr">
        <is>
          <t>Abdomen; Eyes; Ears; Genitourinary; Head and neck; Limbs; Nervous system; Respiratory; Skeletal; Skin</t>
        </is>
      </c>
      <c r="L102" s="8" t="n">
        <v>53</v>
      </c>
      <c r="M102" s="8" t="inlineStr">
        <is>
          <t>HP:0000286; HP:0002421; HP:0000486; HP:0010808; HP:0001252; HP:0001251; HP:0001290; HP:0011933; HP:0000718; HP:0011220; HP:0002419; HP:0025336; HP:0000752; HP:0000158; HP:0002335; HP:0001249; HP:0000556; HP:0002553; HP:0000252; HP:0002871; HP:0000570; HP:0002195; HP:0001263; HP:0002790; HP:0007271; HP:0002508; HP:0000567; HP:0000369; HP:0000463; HP:0002365; HP:0001395; HP:0010828; HP:0000617; HP:0000657; HP:0030084; HP:0002876; HP:0000256; HP:0001320; HP:0000750; HP:0000112; HP:0031936; HP:0001162; HP:0100951; HP:0000508; HP:0007772; HP:0000107; HP:0007973; HP:0000543; HP:0001357; HP:0001830; HP:0000588; HP:0000742; HP:0200096</t>
        </is>
      </c>
      <c r="N102" s="8" t="inlineStr">
        <is>
          <t>Yes</t>
        </is>
      </c>
      <c r="O102" s="8" t="n"/>
      <c r="P102" s="8" t="n"/>
    </row>
    <row r="103">
      <c r="A103" s="8" t="inlineStr">
        <is>
          <t>CILP_0102</t>
        </is>
      </c>
      <c r="B103" s="8" t="inlineStr">
        <is>
          <t>Joubert Syndrome</t>
        </is>
      </c>
      <c r="C103" s="8" t="inlineStr">
        <is>
          <t>JBTS10</t>
        </is>
      </c>
      <c r="D103" s="8" t="inlineStr">
        <is>
          <t>300804</t>
        </is>
      </c>
      <c r="E103" s="8" t="inlineStr">
        <is>
          <t>OMIM:300804</t>
        </is>
      </c>
      <c r="F103" s="8" t="inlineStr">
        <is>
          <t>OMIM phenotype entry</t>
        </is>
      </c>
      <c r="G103" s="8" t="inlineStr">
        <is>
          <t>Primary</t>
        </is>
      </c>
      <c r="H103" s="8" t="inlineStr">
        <is>
          <t>Neurodevelopmental ciliopathy</t>
        </is>
      </c>
      <c r="I103" s="8" t="inlineStr">
        <is>
          <t>OFD1</t>
        </is>
      </c>
      <c r="J103" s="8" t="inlineStr">
        <is>
          <t>XLR</t>
        </is>
      </c>
      <c r="K103" s="8" t="inlineStr">
        <is>
          <t>Abdomen; Eyes; Ears; Growth; Immune system; Head and neck; Limbs; Nervous system; Metabolism; Skeletal; Skin</t>
        </is>
      </c>
      <c r="L103" s="8" t="n">
        <v>36</v>
      </c>
      <c r="M103" s="8" t="inlineStr">
        <is>
          <t>HP:0000286; HP:0004325; HP:0004322; HP:0001310; HP:0002002; HP:0001156; HP:0002187; HP:0001252; HP:0001270; HP:0002280; HP:0025161; HP:0010864; HP:0002719; HP:0012471; HP:0002419; HP:0008872; HP:0000510; HP:0000256; HP:0001007; HP:0001320; HP:0001561; HP:0000252; HP:0000494; HP:0000431; HP:0001344; HP:0001162; HP:0002591; HP:0001263; HP:0033454; HP:0001954; HP:0000405; HP:0001830; HP:0002007; HP:0001510; HP:0001513; HP:0000369</t>
        </is>
      </c>
      <c r="N103" s="8" t="inlineStr">
        <is>
          <t>Yes</t>
        </is>
      </c>
      <c r="O103" s="8" t="n"/>
      <c r="P103" s="8" t="n"/>
    </row>
    <row r="104">
      <c r="A104" s="8" t="inlineStr">
        <is>
          <t>CILP_0103</t>
        </is>
      </c>
      <c r="B104" s="8" t="inlineStr">
        <is>
          <t>Joubert Syndrome</t>
        </is>
      </c>
      <c r="C104" s="8" t="inlineStr">
        <is>
          <t>JBTS2</t>
        </is>
      </c>
      <c r="D104" s="8" t="inlineStr">
        <is>
          <t>608091</t>
        </is>
      </c>
      <c r="E104" s="8" t="inlineStr">
        <is>
          <t>OMIM:608091</t>
        </is>
      </c>
      <c r="F104" s="8" t="inlineStr">
        <is>
          <t>OMIM phenotype entry</t>
        </is>
      </c>
      <c r="G104" s="8" t="inlineStr">
        <is>
          <t>Primary</t>
        </is>
      </c>
      <c r="H104" s="8" t="inlineStr">
        <is>
          <t>Neurodevelopmental ciliopathy</t>
        </is>
      </c>
      <c r="I104" s="8" t="inlineStr">
        <is>
          <t>TMEM216</t>
        </is>
      </c>
      <c r="J104" s="8" t="inlineStr">
        <is>
          <t>AR</t>
        </is>
      </c>
      <c r="K104" s="8" t="inlineStr">
        <is>
          <t>Eyes; Ears; Growth; Genitourinary; Head and neck; Limbs; Nervous system; Respiratory; Skeletal</t>
        </is>
      </c>
      <c r="L104" s="8" t="n">
        <v>47</v>
      </c>
      <c r="M104" s="8" t="inlineStr">
        <is>
          <t>HP:0002365; HP:0001250; HP:0000083; HP:0001252; HP:0001251; HP:0001273; HP:0002084; HP:0011933; HP:0000639; HP:0001508; HP:0000617; HP:0000657; HP:0000316; HP:0002419; HP:0000238; HP:0000218; HP:0002876; HP:0000256; HP:0000556; HP:0001249; HP:0002335; HP:0001760; HP:0001583; HP:0002871; HP:0001162; HP:0000050; HP:0001263; HP:0002195; HP:0000570; HP:0002790; HP:0000090; HP:0005280; HP:0100951; HP:0011330; HP:0002508; HP:0000107; HP:0007772; HP:0000568; HP:0000505; HP:0001830; HP:0002007; HP:0000565; HP:0000268; HP:0002404; HP:0000369; HP:0000567; HP:0000588</t>
        </is>
      </c>
      <c r="N104" s="8" t="inlineStr">
        <is>
          <t>Yes</t>
        </is>
      </c>
      <c r="O104" s="8" t="n"/>
      <c r="P104" s="8" t="n"/>
    </row>
    <row r="105">
      <c r="A105" s="8" t="inlineStr">
        <is>
          <t>CILP_0104</t>
        </is>
      </c>
      <c r="B105" s="8" t="inlineStr">
        <is>
          <t>Joubert Syndrome</t>
        </is>
      </c>
      <c r="C105" s="8" t="inlineStr">
        <is>
          <t>JBTS3</t>
        </is>
      </c>
      <c r="D105" s="8" t="inlineStr">
        <is>
          <t>608629</t>
        </is>
      </c>
      <c r="E105" s="8" t="inlineStr">
        <is>
          <t>OMIM:608629</t>
        </is>
      </c>
      <c r="F105" s="8" t="inlineStr">
        <is>
          <t>OMIM phenotype entry</t>
        </is>
      </c>
      <c r="G105" s="8" t="inlineStr">
        <is>
          <t>Primary</t>
        </is>
      </c>
      <c r="H105" s="8" t="inlineStr">
        <is>
          <t>Neurodevelopmental ciliopathy</t>
        </is>
      </c>
      <c r="I105" s="8" t="inlineStr">
        <is>
          <t>AHI1</t>
        </is>
      </c>
      <c r="J105" s="8" t="inlineStr">
        <is>
          <t>AR</t>
        </is>
      </c>
      <c r="K105" s="8" t="inlineStr">
        <is>
          <t>Eyes; Ears; Cardiovascular; Genitourinary; Head and neck; Nervous system; Respiratory; Skeletal; Skin</t>
        </is>
      </c>
      <c r="L105" s="8" t="n">
        <v>31</v>
      </c>
      <c r="M105" s="8" t="inlineStr">
        <is>
          <t>HP:0000286; HP:0003774; HP:0000463; HP:0001252; HP:0001251; HP:0000580; HP:0011933; HP:0001270; HP:0033725; HP:0000639; HP:0000657; HP:0002419; HP:0002876; HP:0000512; HP:0001249; HP:0000556; HP:0001320; HP:0002553; HP:0006956; HP:0000431; HP:0002871; HP:0031936; HP:0000194; HP:0002790; HP:0000090; HP:0100951; HP:0000508; HP:0000505; HP:0001631; HP:0000369; HP:0006821</t>
        </is>
      </c>
      <c r="N105" s="8" t="inlineStr">
        <is>
          <t>Yes</t>
        </is>
      </c>
      <c r="O105" s="8" t="n"/>
      <c r="P105" s="8" t="n"/>
    </row>
    <row r="106">
      <c r="A106" s="8" t="inlineStr">
        <is>
          <t>CILP_0105</t>
        </is>
      </c>
      <c r="B106" s="8" t="inlineStr">
        <is>
          <t>Joubert Syndrome</t>
        </is>
      </c>
      <c r="C106" s="8" t="inlineStr">
        <is>
          <t>JBTS4</t>
        </is>
      </c>
      <c r="D106" s="8" t="inlineStr">
        <is>
          <t>609583</t>
        </is>
      </c>
      <c r="E106" s="8" t="inlineStr">
        <is>
          <t>OMIM:609583</t>
        </is>
      </c>
      <c r="F106" s="8" t="inlineStr">
        <is>
          <t>OMIM phenotype entry</t>
        </is>
      </c>
      <c r="G106" s="8" t="inlineStr">
        <is>
          <t>Primary</t>
        </is>
      </c>
      <c r="H106" s="8" t="inlineStr">
        <is>
          <t>Neurodevelopmental ciliopathy</t>
        </is>
      </c>
      <c r="I106" s="8" t="inlineStr">
        <is>
          <t>NPHP1</t>
        </is>
      </c>
      <c r="J106" s="8" t="inlineStr">
        <is>
          <t>AR</t>
        </is>
      </c>
      <c r="K106" s="8" t="inlineStr">
        <is>
          <t>Eyes; Genitourinary; Nervous system; Skeletal</t>
        </is>
      </c>
      <c r="L106" s="8" t="n">
        <v>17</v>
      </c>
      <c r="M106" s="8" t="inlineStr">
        <is>
          <t>HP:0003774; HP:0001320; HP:0000571; HP:0000083; HP:0001252; HP:0001263; HP:0001251; HP:0001290; HP:0002172; HP:0000090; HP:0002194; HP:0011933; HP:0000639; HP:0100957; HP:0000657; HP:0002419; HP:0002404</t>
        </is>
      </c>
      <c r="N106" s="8" t="inlineStr">
        <is>
          <t>Yes</t>
        </is>
      </c>
      <c r="O106" s="8" t="n"/>
      <c r="P106" s="8" t="n"/>
    </row>
    <row r="107">
      <c r="A107" s="8" t="inlineStr">
        <is>
          <t>CILP_0106</t>
        </is>
      </c>
      <c r="B107" s="8" t="inlineStr">
        <is>
          <t>Joubert Syndrome</t>
        </is>
      </c>
      <c r="C107" s="8" t="inlineStr">
        <is>
          <t>JBTS5</t>
        </is>
      </c>
      <c r="D107" s="8" t="inlineStr">
        <is>
          <t>610188</t>
        </is>
      </c>
      <c r="E107" s="8" t="inlineStr">
        <is>
          <t>OMIM:610188</t>
        </is>
      </c>
      <c r="F107" s="8" t="inlineStr">
        <is>
          <t>OMIM phenotype entry</t>
        </is>
      </c>
      <c r="G107" s="8" t="inlineStr">
        <is>
          <t>Primary</t>
        </is>
      </c>
      <c r="H107" s="8" t="inlineStr">
        <is>
          <t>Neurodevelopmental ciliopathy</t>
        </is>
      </c>
      <c r="I107" s="8" t="inlineStr">
        <is>
          <t>CEP290</t>
        </is>
      </c>
      <c r="J107" s="8" t="inlineStr">
        <is>
          <t>AR</t>
        </is>
      </c>
      <c r="K107" s="8" t="inlineStr">
        <is>
          <t>Eyes; Genitourinary; Head and neck; Nervous system; Respiratory; Skeletal</t>
        </is>
      </c>
      <c r="L107" s="8" t="n">
        <v>27</v>
      </c>
      <c r="M107" s="8" t="inlineStr">
        <is>
          <t>HP:0003774; HP:0000480; HP:0001252; HP:0002085; HP:0001251; HP:0001290; HP:0000639; HP:0000718; HP:0000657; HP:0002419; HP:0007663; HP:0002876; HP:0000510; HP:0002335; HP:0001249; HP:0000175; HP:0002871; HP:0005565; HP:0006817; HP:0001263; HP:0002790; HP:0000090; HP:0000803; HP:0000508; HP:0004727; HP:0007875; HP:0002404</t>
        </is>
      </c>
      <c r="N107" s="8" t="inlineStr">
        <is>
          <t>Yes</t>
        </is>
      </c>
      <c r="O107" s="8" t="n"/>
      <c r="P107" s="8" t="n"/>
    </row>
    <row r="108">
      <c r="A108" s="8" t="inlineStr">
        <is>
          <t>CILP_0107</t>
        </is>
      </c>
      <c r="B108" s="8" t="inlineStr">
        <is>
          <t>Joubert Syndrome</t>
        </is>
      </c>
      <c r="C108" s="8" t="inlineStr">
        <is>
          <t>JBTS6</t>
        </is>
      </c>
      <c r="D108" s="8" t="inlineStr">
        <is>
          <t>610688</t>
        </is>
      </c>
      <c r="E108" s="8" t="inlineStr">
        <is>
          <t>OMIM:610688</t>
        </is>
      </c>
      <c r="F108" s="8" t="inlineStr">
        <is>
          <t>OMIM phenotype entry</t>
        </is>
      </c>
      <c r="G108" s="8" t="inlineStr">
        <is>
          <t>Primary</t>
        </is>
      </c>
      <c r="H108" s="8" t="inlineStr">
        <is>
          <t>Neurodevelopmental ciliopathy</t>
        </is>
      </c>
      <c r="I108" s="8" t="inlineStr">
        <is>
          <t>TMEM67</t>
        </is>
      </c>
      <c r="J108" s="8" t="inlineStr">
        <is>
          <t>AR</t>
        </is>
      </c>
      <c r="K108" s="8" t="inlineStr">
        <is>
          <t>Abdomen; Eyes; Genitourinary; Nervous system; Respiratory; Skeletal</t>
        </is>
      </c>
      <c r="L108" s="8" t="n">
        <v>21</v>
      </c>
      <c r="M108" s="8" t="inlineStr">
        <is>
          <t>HP:0001320; HP:0003774; HP:0002365; HP:0002198; HP:0001263; HP:0001395; HP:0001252; HP:0001251; HP:0000090; HP:0011933; HP:0100951; HP:0001408; HP:0000618; HP:0000657; HP:0002419; HP:0000546; HP:0000733; HP:0005957; HP:0002404; HP:0000567; HP:0001249</t>
        </is>
      </c>
      <c r="N108" s="8" t="inlineStr">
        <is>
          <t>Yes</t>
        </is>
      </c>
      <c r="O108" s="8" t="n"/>
      <c r="P108" s="8" t="n"/>
    </row>
    <row r="109">
      <c r="A109" s="8" t="inlineStr">
        <is>
          <t>CILP_0108</t>
        </is>
      </c>
      <c r="B109" s="8" t="inlineStr">
        <is>
          <t>Joubert Syndrome</t>
        </is>
      </c>
      <c r="C109" s="8" t="inlineStr">
        <is>
          <t>JBTS7</t>
        </is>
      </c>
      <c r="D109" s="8" t="inlineStr">
        <is>
          <t>611560</t>
        </is>
      </c>
      <c r="E109" s="8" t="inlineStr">
        <is>
          <t>OMIM:611560</t>
        </is>
      </c>
      <c r="F109" s="8" t="inlineStr">
        <is>
          <t>OMIM phenotype entry</t>
        </is>
      </c>
      <c r="G109" s="8" t="inlineStr">
        <is>
          <t>Primary</t>
        </is>
      </c>
      <c r="H109" s="8" t="inlineStr">
        <is>
          <t>Neurodevelopmental ciliopathy</t>
        </is>
      </c>
      <c r="I109" s="8" t="inlineStr">
        <is>
          <t>RPGRIP1L</t>
        </is>
      </c>
      <c r="J109" s="8" t="inlineStr">
        <is>
          <t>AR</t>
        </is>
      </c>
      <c r="K109" s="8" t="inlineStr">
        <is>
          <t>Eyes; Genitourinary; Head and neck; Limbs; Nervous system; Respiratory; Skeletal</t>
        </is>
      </c>
      <c r="L109" s="8" t="n">
        <v>24</v>
      </c>
      <c r="M109" s="8" t="inlineStr">
        <is>
          <t>HP:0003774; HP:0002365; HP:0001273; HP:0001251; HP:0001290; HP:0002084; HP:0000639; HP:0000657; HP:0002419; HP:0002857; HP:0002876; HP:0001249; HP:0000556; HP:0002650; HP:0002871; HP:0001162; HP:0001263; HP:0002790; HP:0000090; HP:0100259; HP:0002508; HP:0000508; HP:0000107; HP:0002789</t>
        </is>
      </c>
      <c r="N109" s="8" t="inlineStr">
        <is>
          <t>Yes</t>
        </is>
      </c>
      <c r="O109" s="8" t="n"/>
      <c r="P109" s="8" t="n"/>
    </row>
    <row r="110">
      <c r="A110" s="8" t="inlineStr">
        <is>
          <t>CILP_0109</t>
        </is>
      </c>
      <c r="B110" s="8" t="inlineStr">
        <is>
          <t>Joubert Syndrome</t>
        </is>
      </c>
      <c r="C110" s="8" t="inlineStr">
        <is>
          <t>JBTS9</t>
        </is>
      </c>
      <c r="D110" s="8" t="inlineStr">
        <is>
          <t>612285</t>
        </is>
      </c>
      <c r="E110" s="8" t="inlineStr">
        <is>
          <t>OMIM:612285</t>
        </is>
      </c>
      <c r="F110" s="8" t="inlineStr">
        <is>
          <t>OMIM phenotype entry</t>
        </is>
      </c>
      <c r="G110" s="8" t="inlineStr">
        <is>
          <t>Primary</t>
        </is>
      </c>
      <c r="H110" s="8" t="inlineStr">
        <is>
          <t>Neurodevelopmental ciliopathy</t>
        </is>
      </c>
      <c r="I110" s="8" t="inlineStr">
        <is>
          <t>CC2D2A</t>
        </is>
      </c>
      <c r="J110" s="8" t="inlineStr">
        <is>
          <t>AR</t>
        </is>
      </c>
      <c r="K110" s="8" t="inlineStr">
        <is>
          <t>Abdomen; Eyes; Genitourinary; Head and neck; Nervous system; Respiratory; Skeletal</t>
        </is>
      </c>
      <c r="L110" s="8" t="n">
        <v>17</v>
      </c>
      <c r="M110" s="8" t="inlineStr">
        <is>
          <t>HP:0003774; HP:0000483; HP:0002650; HP:0001250; HP:0001263; HP:0001395; HP:0002084; HP:0000518; HP:0000639; HP:0100704; HP:0000657; HP:0002419; HP:0002119; HP:0002876; HP:0001249; HP:0002104; HP:0000556</t>
        </is>
      </c>
      <c r="N110" s="8" t="inlineStr">
        <is>
          <t>Yes</t>
        </is>
      </c>
      <c r="O110" s="8" t="n"/>
      <c r="P110" s="8" t="n"/>
    </row>
    <row r="111">
      <c r="A111" s="8" t="inlineStr">
        <is>
          <t>CILP_0110</t>
        </is>
      </c>
      <c r="B111" s="8" t="inlineStr">
        <is>
          <t>Joubert Syndrome</t>
        </is>
      </c>
      <c r="C111" s="8" t="inlineStr">
        <is>
          <t>JBTS8</t>
        </is>
      </c>
      <c r="D111" s="8" t="inlineStr">
        <is>
          <t>612291</t>
        </is>
      </c>
      <c r="E111" s="8" t="inlineStr">
        <is>
          <t>OMIM:612291</t>
        </is>
      </c>
      <c r="F111" s="8" t="inlineStr">
        <is>
          <t>OMIM phenotype entry</t>
        </is>
      </c>
      <c r="G111" s="8" t="inlineStr">
        <is>
          <t>Primary</t>
        </is>
      </c>
      <c r="H111" s="8" t="inlineStr">
        <is>
          <t>Neurodevelopmental ciliopathy</t>
        </is>
      </c>
      <c r="I111" s="8" t="inlineStr">
        <is>
          <t>ARL13B</t>
        </is>
      </c>
      <c r="J111" s="8" t="inlineStr">
        <is>
          <t>AR</t>
        </is>
      </c>
      <c r="K111" s="8" t="inlineStr">
        <is>
          <t>Abdomen; Eyes; Growth; Head and neck; Nervous system; Respiratory; Skeletal; Skin</t>
        </is>
      </c>
      <c r="L111" s="8" t="n">
        <v>18</v>
      </c>
      <c r="M111" s="8" t="inlineStr">
        <is>
          <t>HP:0002883; HP:0001276; HP:0001344; HP:0031936; HP:0002085; HP:0001252; HP:0001263; HP:0000580; HP:0002240; HP:0001251; HP:0001290; HP:0000508; HP:0000657; HP:0002419; HP:0000543; HP:0006579; HP:0001513; HP:0001249</t>
        </is>
      </c>
      <c r="N111" s="8" t="inlineStr">
        <is>
          <t>Yes</t>
        </is>
      </c>
      <c r="O111" s="8" t="n"/>
      <c r="P111" s="8" t="n"/>
    </row>
    <row r="112">
      <c r="A112" s="8" t="inlineStr">
        <is>
          <t>CILP_0111</t>
        </is>
      </c>
      <c r="B112" s="8" t="inlineStr">
        <is>
          <t>Joubert Syndrome</t>
        </is>
      </c>
      <c r="C112" s="8" t="inlineStr">
        <is>
          <t>JBTS11</t>
        </is>
      </c>
      <c r="D112" s="8" t="inlineStr">
        <is>
          <t>613820</t>
        </is>
      </c>
      <c r="E112" s="8" t="inlineStr">
        <is>
          <t>OMIM:613820</t>
        </is>
      </c>
      <c r="F112" s="8" t="inlineStr">
        <is>
          <t>OMIM phenotype entry</t>
        </is>
      </c>
      <c r="G112" s="8" t="inlineStr">
        <is>
          <t>Primary</t>
        </is>
      </c>
      <c r="H112" s="8" t="inlineStr">
        <is>
          <t>Neurodevelopmental ciliopathy</t>
        </is>
      </c>
      <c r="I112" s="8" t="inlineStr">
        <is>
          <t>TTC21B</t>
        </is>
      </c>
      <c r="J112" s="8" t="inlineStr">
        <is>
          <t>AR; AD</t>
        </is>
      </c>
      <c r="K112" s="8" t="inlineStr">
        <is>
          <t>Genitourinary</t>
        </is>
      </c>
      <c r="L112" s="8" t="n">
        <v>2</v>
      </c>
      <c r="M112" s="8" t="inlineStr">
        <is>
          <t>HP:0003774; HP:0000090</t>
        </is>
      </c>
      <c r="N112" s="8" t="inlineStr">
        <is>
          <t>Yes</t>
        </is>
      </c>
      <c r="O112" s="8" t="n"/>
      <c r="P112" s="8" t="inlineStr">
        <is>
          <t>Same OMIM entry also curated under Nephronophthisis (CILP_0197)</t>
        </is>
      </c>
    </row>
    <row r="113">
      <c r="A113" s="8" t="inlineStr">
        <is>
          <t>CILP_0112</t>
        </is>
      </c>
      <c r="B113" s="8" t="inlineStr">
        <is>
          <t>Joubert Syndrome</t>
        </is>
      </c>
      <c r="C113" s="8" t="inlineStr">
        <is>
          <t>JBTS13</t>
        </is>
      </c>
      <c r="D113" s="8" t="inlineStr">
        <is>
          <t>614173</t>
        </is>
      </c>
      <c r="E113" s="8" t="inlineStr">
        <is>
          <t>OMIM:614173</t>
        </is>
      </c>
      <c r="F113" s="8" t="inlineStr">
        <is>
          <t>OMIM phenotype entry</t>
        </is>
      </c>
      <c r="G113" s="8" t="inlineStr">
        <is>
          <t>Primary</t>
        </is>
      </c>
      <c r="H113" s="8" t="inlineStr">
        <is>
          <t>Neurodevelopmental ciliopathy</t>
        </is>
      </c>
      <c r="I113" s="8" t="inlineStr">
        <is>
          <t>TCTN1</t>
        </is>
      </c>
      <c r="J113" s="8" t="inlineStr">
        <is>
          <t>AR</t>
        </is>
      </c>
      <c r="K113" s="8" t="inlineStr">
        <is>
          <t>Nervous system</t>
        </is>
      </c>
      <c r="L113" s="8" t="n">
        <v>3</v>
      </c>
      <c r="M113" s="8" t="inlineStr">
        <is>
          <t>HP:0001320; HP:0002419; HP:0001302</t>
        </is>
      </c>
      <c r="N113" s="8" t="inlineStr">
        <is>
          <t>Yes</t>
        </is>
      </c>
      <c r="O113" s="8" t="n"/>
      <c r="P113" s="8" t="n"/>
    </row>
    <row r="114">
      <c r="A114" s="8" t="inlineStr">
        <is>
          <t>CILP_0113</t>
        </is>
      </c>
      <c r="B114" s="8" t="inlineStr">
        <is>
          <t>Joubert Syndrome</t>
        </is>
      </c>
      <c r="C114" s="8" t="inlineStr">
        <is>
          <t>JBTS34</t>
        </is>
      </c>
      <c r="D114" s="8" t="inlineStr">
        <is>
          <t>614175</t>
        </is>
      </c>
      <c r="E114" s="8" t="inlineStr">
        <is>
          <t>OMIM:614175</t>
        </is>
      </c>
      <c r="F114" s="8" t="inlineStr">
        <is>
          <t>OMIM phenotype entry</t>
        </is>
      </c>
      <c r="G114" s="8" t="inlineStr">
        <is>
          <t>Primary</t>
        </is>
      </c>
      <c r="H114" s="8" t="inlineStr">
        <is>
          <t>Neurodevelopmental ciliopathy</t>
        </is>
      </c>
      <c r="I114" s="8" t="inlineStr">
        <is>
          <t>B9D2</t>
        </is>
      </c>
      <c r="J114" s="8" t="inlineStr">
        <is>
          <t>AR</t>
        </is>
      </c>
      <c r="K114" s="8" t="inlineStr">
        <is>
          <t>Abdomen; Eyes; Ears; Genitourinary; Head and neck; Limbs; Nervous system; Skeletal; Skin</t>
        </is>
      </c>
      <c r="L114" s="8" t="n">
        <v>24</v>
      </c>
      <c r="M114" s="8" t="inlineStr">
        <is>
          <t>HP:0000286; HP:0002323; HP:0001250; HP:0002085; HP:0009487; HP:0002419; HP:0001305; HP:0000377; HP:0000054; HP:0000175; HP:0001321; HP:0001162; HP:0002198; HP:0000193; HP:0045025; HP:0100259; HP:0012385; HP:0000508; HP:0000107; HP:0006563; HP:0001830; HP:0002007; HP:0000960; HP:0000047</t>
        </is>
      </c>
      <c r="N114" s="8" t="inlineStr">
        <is>
          <t>Yes</t>
        </is>
      </c>
      <c r="O114" s="8" t="n"/>
      <c r="P114" s="8" t="inlineStr">
        <is>
          <t>Same OMIM entry also curated under Meckel–Gruber Syndrome (CILP_0179)</t>
        </is>
      </c>
    </row>
    <row r="115">
      <c r="A115" s="8" t="inlineStr">
        <is>
          <t>CILP_0114</t>
        </is>
      </c>
      <c r="B115" s="8" t="inlineStr">
        <is>
          <t>Joubert Syndrome</t>
        </is>
      </c>
      <c r="C115" s="8" t="inlineStr">
        <is>
          <t>JBTS14</t>
        </is>
      </c>
      <c r="D115" s="8" t="inlineStr">
        <is>
          <t>614424</t>
        </is>
      </c>
      <c r="E115" s="8" t="inlineStr">
        <is>
          <t>OMIM:614424</t>
        </is>
      </c>
      <c r="F115" s="8" t="inlineStr">
        <is>
          <t>OMIM phenotype entry</t>
        </is>
      </c>
      <c r="G115" s="8" t="inlineStr">
        <is>
          <t>Primary</t>
        </is>
      </c>
      <c r="H115" s="8" t="inlineStr">
        <is>
          <t>Neurodevelopmental ciliopathy</t>
        </is>
      </c>
      <c r="I115" s="8" t="inlineStr">
        <is>
          <t>TMEM237</t>
        </is>
      </c>
      <c r="J115" s="8" t="inlineStr">
        <is>
          <t>AR</t>
        </is>
      </c>
      <c r="K115" s="8" t="inlineStr">
        <is>
          <t>Eyes; Ears; Cardiovascular; Growth; Genitourinary; Head and neck; Limbs; Nervous system; Skeletal; Skin</t>
        </is>
      </c>
      <c r="L115" s="8" t="n">
        <v>43</v>
      </c>
      <c r="M115" s="8" t="inlineStr">
        <is>
          <t>HP:0000286; HP:0010804; HP:0000486; HP:0002365; HP:0001252; HP:0001251; HP:0001290; HP:0002084; HP:0010864; HP:0000639; HP:0001629; HP:0000737; HP:0100704; HP:0000316; HP:0001305; HP:0000238; HP:0002419; HP:0025514; HP:0000358; HP:0002335; HP:0002435; HP:0002553; HP:0001320; HP:0000494; HP:0000175; HP:0002079; HP:0000194; HP:0000490; HP:0001263; HP:0000272; HP:0002170; HP:0100259; HP:0000508; HP:0000822; HP:0000426; HP:0000107; HP:0000348; HP:0000568; HP:0000648; HP:0001510; HP:0000322; HP:0000589; HP:0000369</t>
        </is>
      </c>
      <c r="N115" s="8" t="inlineStr">
        <is>
          <t>Yes</t>
        </is>
      </c>
      <c r="O115" s="8" t="n"/>
      <c r="P115" s="8" t="n"/>
    </row>
    <row r="116">
      <c r="A116" s="8" t="inlineStr">
        <is>
          <t>CILP_0115</t>
        </is>
      </c>
      <c r="B116" s="8" t="inlineStr">
        <is>
          <t>Joubert Syndrome</t>
        </is>
      </c>
      <c r="C116" s="8" t="inlineStr">
        <is>
          <t>JBTS15</t>
        </is>
      </c>
      <c r="D116" s="8" t="inlineStr">
        <is>
          <t>614464</t>
        </is>
      </c>
      <c r="E116" s="8" t="inlineStr">
        <is>
          <t>OMIM:614464</t>
        </is>
      </c>
      <c r="F116" s="8" t="inlineStr">
        <is>
          <t>OMIM phenotype entry</t>
        </is>
      </c>
      <c r="G116" s="8" t="inlineStr">
        <is>
          <t>Primary</t>
        </is>
      </c>
      <c r="H116" s="8" t="inlineStr">
        <is>
          <t>Neurodevelopmental ciliopathy</t>
        </is>
      </c>
      <c r="I116" s="8" t="inlineStr">
        <is>
          <t>CEP41</t>
        </is>
      </c>
      <c r="J116" s="8" t="inlineStr">
        <is>
          <t>AR</t>
        </is>
      </c>
      <c r="K116" s="8" t="inlineStr">
        <is>
          <t>Eyes; Genitourinary; Limbs; Nervous system; Skeletal</t>
        </is>
      </c>
      <c r="L116" s="8" t="n">
        <v>15</v>
      </c>
      <c r="M116" s="8" t="inlineStr">
        <is>
          <t>HP:0000054; HP:0000062; HP:0001263; HP:0001252; HP:0001251; HP:0001290; HP:0000090; HP:0030769; HP:0100258; HP:0000657; HP:0002419; HP:0000488; HP:0001249; HP:0000556; HP:0000589</t>
        </is>
      </c>
      <c r="N116" s="8" t="inlineStr">
        <is>
          <t>Yes</t>
        </is>
      </c>
      <c r="O116" s="8" t="n"/>
      <c r="P116" s="8" t="n"/>
    </row>
    <row r="117">
      <c r="A117" s="8" t="inlineStr">
        <is>
          <t>CILP_0116</t>
        </is>
      </c>
      <c r="B117" s="8" t="inlineStr">
        <is>
          <t>Joubert Syndrome</t>
        </is>
      </c>
      <c r="C117" s="8" t="inlineStr">
        <is>
          <t>JBTS16</t>
        </is>
      </c>
      <c r="D117" s="8" t="inlineStr">
        <is>
          <t>614465</t>
        </is>
      </c>
      <c r="E117" s="8" t="inlineStr">
        <is>
          <t>OMIM:614465</t>
        </is>
      </c>
      <c r="F117" s="8" t="inlineStr">
        <is>
          <t>OMIM phenotype entry</t>
        </is>
      </c>
      <c r="G117" s="8" t="inlineStr">
        <is>
          <t>Primary</t>
        </is>
      </c>
      <c r="H117" s="8" t="inlineStr">
        <is>
          <t>Neurodevelopmental ciliopathy</t>
        </is>
      </c>
      <c r="I117" s="8" t="inlineStr">
        <is>
          <t>TMEM138</t>
        </is>
      </c>
      <c r="J117" s="8" t="inlineStr">
        <is>
          <t>AR</t>
        </is>
      </c>
      <c r="K117" s="8" t="inlineStr">
        <is>
          <t>Eyes; Genitourinary; Head and neck; Limbs; Nervous system; Skeletal</t>
        </is>
      </c>
      <c r="L117" s="8" t="n">
        <v>10</v>
      </c>
      <c r="M117" s="8" t="inlineStr">
        <is>
          <t>HP:0000657; HP:0000107; HP:0000316; HP:0000090; HP:0001305; HP:0002084; HP:0002419; HP:0010442; HP:0000589; HP:0000556</t>
        </is>
      </c>
      <c r="N117" s="8" t="inlineStr">
        <is>
          <t>Yes</t>
        </is>
      </c>
      <c r="O117" s="8" t="n"/>
      <c r="P117" s="8" t="n"/>
    </row>
    <row r="118">
      <c r="A118" s="8" t="inlineStr">
        <is>
          <t>CILP_0117</t>
        </is>
      </c>
      <c r="B118" s="8" t="inlineStr">
        <is>
          <t>Joubert Syndrome</t>
        </is>
      </c>
      <c r="C118" s="8" t="inlineStr">
        <is>
          <t>JBTS17</t>
        </is>
      </c>
      <c r="D118" s="8" t="inlineStr">
        <is>
          <t>614615</t>
        </is>
      </c>
      <c r="E118" s="8" t="inlineStr">
        <is>
          <t>OMIM:614615</t>
        </is>
      </c>
      <c r="F118" s="8" t="inlineStr">
        <is>
          <t>OMIM phenotype entry</t>
        </is>
      </c>
      <c r="G118" s="8" t="inlineStr">
        <is>
          <t>Primary</t>
        </is>
      </c>
      <c r="H118" s="8" t="inlineStr">
        <is>
          <t>Neurodevelopmental ciliopathy</t>
        </is>
      </c>
      <c r="I118" s="8" t="inlineStr">
        <is>
          <t>CPLANE1</t>
        </is>
      </c>
      <c r="J118" s="8" t="inlineStr">
        <is>
          <t>AR</t>
        </is>
      </c>
      <c r="K118" s="8" t="inlineStr">
        <is>
          <t>Eyes; Genitourinary; Limbs; Nervous system; Respiratory; Skeletal</t>
        </is>
      </c>
      <c r="L118" s="8" t="n">
        <v>10</v>
      </c>
      <c r="M118" s="8" t="inlineStr">
        <is>
          <t>HP:0002883; HP:0100259; HP:0011939; HP:0012210; HP:0100258; HP:0001263; HP:0001251; HP:0000657; HP:0002419; HP:0000479</t>
        </is>
      </c>
      <c r="N118" s="8" t="inlineStr">
        <is>
          <t>Yes</t>
        </is>
      </c>
      <c r="O118" s="8" t="n"/>
      <c r="P118" s="8" t="n"/>
    </row>
    <row r="119">
      <c r="A119" s="8" t="inlineStr">
        <is>
          <t>CILP_0118</t>
        </is>
      </c>
      <c r="B119" s="8" t="inlineStr">
        <is>
          <t>Joubert Syndrome</t>
        </is>
      </c>
      <c r="C119" s="8" t="inlineStr">
        <is>
          <t>JBTS18</t>
        </is>
      </c>
      <c r="D119" s="8" t="inlineStr">
        <is>
          <t>614815</t>
        </is>
      </c>
      <c r="E119" s="8" t="inlineStr">
        <is>
          <t>OMIM:614815</t>
        </is>
      </c>
      <c r="F119" s="8" t="inlineStr">
        <is>
          <t>OMIM phenotype entry</t>
        </is>
      </c>
      <c r="G119" s="8" t="inlineStr">
        <is>
          <t>Primary</t>
        </is>
      </c>
      <c r="H119" s="8" t="inlineStr">
        <is>
          <t>Neurodevelopmental ciliopathy</t>
        </is>
      </c>
      <c r="I119" s="8" t="inlineStr">
        <is>
          <t>TCTN3</t>
        </is>
      </c>
      <c r="J119" s="8" t="inlineStr">
        <is>
          <t>AR</t>
        </is>
      </c>
      <c r="K119" s="8" t="inlineStr">
        <is>
          <t>Abdomen; Eyes; Cardiovascular; Growth; Genitourinary; Head and neck; Limbs; Nervous system; Skeletal</t>
        </is>
      </c>
      <c r="L119" s="8" t="n">
        <v>22</v>
      </c>
      <c r="M119" s="8" t="inlineStr">
        <is>
          <t>HP:0002085; HP:0001274; HP:0000085; HP:0000180; HP:0001629; HP:0034044; HP:0002419; HP:0002139; HP:0000278; HP:0001249; HP:0002335; HP:0002751; HP:0005248; HP:0000175; HP:0001762; HP:0000496; HP:0001382; HP:0012385; HP:0100259; HP:0000107; HP:0006487; HP:0001511</t>
        </is>
      </c>
      <c r="N119" s="8" t="inlineStr">
        <is>
          <t>Yes</t>
        </is>
      </c>
      <c r="O119" s="8" t="n"/>
      <c r="P119" s="8" t="n"/>
    </row>
    <row r="120">
      <c r="A120" s="8" t="inlineStr">
        <is>
          <t>CILP_0119</t>
        </is>
      </c>
      <c r="B120" s="8" t="inlineStr">
        <is>
          <t>Joubert Syndrome</t>
        </is>
      </c>
      <c r="C120" s="8" t="inlineStr">
        <is>
          <t>JBTS19</t>
        </is>
      </c>
      <c r="D120" s="8" t="inlineStr">
        <is>
          <t>614844</t>
        </is>
      </c>
      <c r="E120" s="8" t="inlineStr">
        <is>
          <t>OMIM:614844</t>
        </is>
      </c>
      <c r="F120" s="8" t="inlineStr">
        <is>
          <t>OMIM phenotype entry</t>
        </is>
      </c>
      <c r="G120" s="8" t="inlineStr">
        <is>
          <t>Primary</t>
        </is>
      </c>
      <c r="H120" s="8" t="inlineStr">
        <is>
          <t>Neurodevelopmental ciliopathy</t>
        </is>
      </c>
      <c r="I120" s="8" t="inlineStr">
        <is>
          <t>ZNF423</t>
        </is>
      </c>
      <c r="J120" s="8" t="inlineStr">
        <is>
          <t>AR; AD</t>
        </is>
      </c>
      <c r="K120" s="8" t="inlineStr">
        <is>
          <t>Eyes; Cardiovascular; Genitourinary; Nervous system</t>
        </is>
      </c>
      <c r="L120" s="8" t="n">
        <v>5</v>
      </c>
      <c r="M120" s="8" t="inlineStr">
        <is>
          <t>HP:0001320; HP:0001696; HP:0000090; HP:0000546; HP:0000113</t>
        </is>
      </c>
      <c r="N120" s="8" t="inlineStr">
        <is>
          <t>Yes</t>
        </is>
      </c>
      <c r="O120" s="8" t="n"/>
      <c r="P120" s="8" t="inlineStr">
        <is>
          <t>Same OMIM entry also curated under Nephronophthisis (CILP_0200)</t>
        </is>
      </c>
    </row>
    <row r="121">
      <c r="A121" s="8" t="inlineStr">
        <is>
          <t>CILP_0120</t>
        </is>
      </c>
      <c r="B121" s="8" t="inlineStr">
        <is>
          <t>Joubert Syndrome</t>
        </is>
      </c>
      <c r="C121" s="8" t="inlineStr">
        <is>
          <t>JBTS20</t>
        </is>
      </c>
      <c r="D121" s="8" t="inlineStr">
        <is>
          <t>614970</t>
        </is>
      </c>
      <c r="E121" s="8" t="inlineStr">
        <is>
          <t>OMIM:614970</t>
        </is>
      </c>
      <c r="F121" s="8" t="inlineStr">
        <is>
          <t>OMIM phenotype entry</t>
        </is>
      </c>
      <c r="G121" s="8" t="inlineStr">
        <is>
          <t>Primary</t>
        </is>
      </c>
      <c r="H121" s="8" t="inlineStr">
        <is>
          <t>Neurodevelopmental ciliopathy</t>
        </is>
      </c>
      <c r="I121" s="8" t="inlineStr">
        <is>
          <t>TMEM231</t>
        </is>
      </c>
      <c r="J121" s="8" t="inlineStr">
        <is>
          <t>AR</t>
        </is>
      </c>
      <c r="K121" s="8" t="inlineStr">
        <is>
          <t>Eyes; Genitourinary; Limbs; Nervous system; Respiratory; Skeletal</t>
        </is>
      </c>
      <c r="L121" s="8" t="n">
        <v>12</v>
      </c>
      <c r="M121" s="8" t="inlineStr">
        <is>
          <t>HP:0001344; HP:0002540; HP:0001263; HP:0004692; HP:0002093; HP:0100259; HP:0000718; HP:0000657; HP:0000107; HP:0002419; HP:0000488; HP:0000742</t>
        </is>
      </c>
      <c r="N121" s="8" t="inlineStr">
        <is>
          <t>Yes</t>
        </is>
      </c>
      <c r="O121" s="8" t="n"/>
      <c r="P121" s="8" t="n"/>
    </row>
    <row r="122">
      <c r="A122" s="8" t="inlineStr">
        <is>
          <t>CILP_0121</t>
        </is>
      </c>
      <c r="B122" s="8" t="inlineStr">
        <is>
          <t>Joubert Syndrome</t>
        </is>
      </c>
      <c r="C122" s="8" t="inlineStr">
        <is>
          <t>JBTS21</t>
        </is>
      </c>
      <c r="D122" s="8" t="inlineStr">
        <is>
          <t>615636</t>
        </is>
      </c>
      <c r="E122" s="8" t="inlineStr">
        <is>
          <t>OMIM:615636</t>
        </is>
      </c>
      <c r="F122" s="8" t="inlineStr">
        <is>
          <t>OMIM phenotype entry</t>
        </is>
      </c>
      <c r="G122" s="8" t="inlineStr">
        <is>
          <t>Primary</t>
        </is>
      </c>
      <c r="H122" s="8" t="inlineStr">
        <is>
          <t>Neurodevelopmental ciliopathy</t>
        </is>
      </c>
      <c r="I122" s="8" t="inlineStr">
        <is>
          <t>CSPP1</t>
        </is>
      </c>
      <c r="J122" s="8" t="inlineStr">
        <is>
          <t>AR</t>
        </is>
      </c>
      <c r="K122" s="8" t="inlineStr">
        <is>
          <t>Abdomen; Eyes; Ears; Cardiovascular; Genitourinary; Immune system; Head and neck; Nervous system; Respiratory; Skeletal</t>
        </is>
      </c>
      <c r="L122" s="8" t="n">
        <v>33</v>
      </c>
      <c r="M122" s="8" t="inlineStr">
        <is>
          <t>HP:0002089; HP:0000486; HP:0002365; HP:0001591; HP:0001250; HP:0001252; HP:0002085; HP:0001251; HP:0002084; HP:0011933; HP:0000639; HP:0004719; HP:0000657; HP:0000316; HP:0002878; HP:0000773; HP:0001249; HP:0001744; HP:0002015; HP:0002079; HP:0001263; HP:0002094; HP:0034302; HP:0011109; HP:0007291; HP:0000528; HP:0000407; HP:0000508; HP:0000107; HP:0000648; HP:0000488; HP:0009932; HP:0002104</t>
        </is>
      </c>
      <c r="N122" s="8" t="inlineStr">
        <is>
          <t>Yes</t>
        </is>
      </c>
      <c r="O122" s="8" t="n"/>
      <c r="P122" s="8" t="n"/>
    </row>
    <row r="123">
      <c r="A123" s="8" t="inlineStr">
        <is>
          <t>CILP_0122</t>
        </is>
      </c>
      <c r="B123" s="8" t="inlineStr">
        <is>
          <t>Joubert Syndrome</t>
        </is>
      </c>
      <c r="C123" s="8" t="inlineStr">
        <is>
          <t>JBTS22</t>
        </is>
      </c>
      <c r="D123" s="8" t="inlineStr">
        <is>
          <t>615665</t>
        </is>
      </c>
      <c r="E123" s="8" t="inlineStr">
        <is>
          <t>OMIM:615665</t>
        </is>
      </c>
      <c r="F123" s="8" t="inlineStr">
        <is>
          <t>OMIM phenotype entry</t>
        </is>
      </c>
      <c r="G123" s="8" t="inlineStr">
        <is>
          <t>Primary</t>
        </is>
      </c>
      <c r="H123" s="8" t="inlineStr">
        <is>
          <t>Neurodevelopmental ciliopathy</t>
        </is>
      </c>
      <c r="I123" s="8" t="inlineStr">
        <is>
          <t>PDE6D</t>
        </is>
      </c>
      <c r="J123" s="8" t="inlineStr">
        <is>
          <t>AR</t>
        </is>
      </c>
      <c r="K123" s="8" t="inlineStr">
        <is>
          <t>Eyes; Growth; Genitourinary; Head and neck; Limbs; Nervous system; Skeletal</t>
        </is>
      </c>
      <c r="L123" s="8" t="n">
        <v>17</v>
      </c>
      <c r="M123" s="8" t="inlineStr">
        <is>
          <t>HP:0000550; HP:0000089; HP:0002079; HP:0001162; HP:0001263; HP:0004691; HP:0001290; HP:0001999; HP:0000657; HP:0007112; HP:0000568; HP:0002419; HP:0007973; HP:0001511; HP:0001830; HP:0000589; HP:0002335</t>
        </is>
      </c>
      <c r="N123" s="8" t="inlineStr">
        <is>
          <t>Yes</t>
        </is>
      </c>
      <c r="O123" s="8" t="n"/>
      <c r="P123" s="8" t="n"/>
    </row>
    <row r="124">
      <c r="A124" s="8" t="inlineStr">
        <is>
          <t>CILP_0123</t>
        </is>
      </c>
      <c r="B124" s="8" t="inlineStr">
        <is>
          <t>Joubert Syndrome</t>
        </is>
      </c>
      <c r="C124" s="8" t="inlineStr">
        <is>
          <t>JBTS23</t>
        </is>
      </c>
      <c r="D124" s="8" t="inlineStr">
        <is>
          <t>616490</t>
        </is>
      </c>
      <c r="E124" s="8" t="inlineStr">
        <is>
          <t>OMIM:616490</t>
        </is>
      </c>
      <c r="F124" s="8" t="inlineStr">
        <is>
          <t>OMIM phenotype entry</t>
        </is>
      </c>
      <c r="G124" s="8" t="inlineStr">
        <is>
          <t>Primary</t>
        </is>
      </c>
      <c r="H124" s="8" t="inlineStr">
        <is>
          <t>Neurodevelopmental ciliopathy</t>
        </is>
      </c>
      <c r="I124" s="8" t="inlineStr">
        <is>
          <t>KIAA0586</t>
        </is>
      </c>
      <c r="J124" s="8" t="inlineStr">
        <is>
          <t>AR</t>
        </is>
      </c>
      <c r="K124" s="8" t="inlineStr">
        <is>
          <t>Eyes; Ears; Limbs; Nervous system; Respiratory; Skeletal</t>
        </is>
      </c>
      <c r="L124" s="8" t="n">
        <v>9</v>
      </c>
      <c r="M124" s="8" t="inlineStr">
        <is>
          <t>HP:0006989; HP:0000496; HP:0000407; HP:0007033; HP:0001263; HP:0010442; HP:0002789; HP:0000589; HP:0002104</t>
        </is>
      </c>
      <c r="N124" s="8" t="inlineStr">
        <is>
          <t>Yes</t>
        </is>
      </c>
      <c r="O124" s="8" t="n"/>
      <c r="P124" s="8" t="n"/>
    </row>
    <row r="125">
      <c r="A125" s="8" t="inlineStr">
        <is>
          <t>CILP_0124</t>
        </is>
      </c>
      <c r="B125" s="8" t="inlineStr">
        <is>
          <t>Joubert Syndrome</t>
        </is>
      </c>
      <c r="C125" s="8" t="inlineStr">
        <is>
          <t>JBTS24</t>
        </is>
      </c>
      <c r="D125" s="8" t="inlineStr">
        <is>
          <t>616654</t>
        </is>
      </c>
      <c r="E125" s="8" t="inlineStr">
        <is>
          <t>OMIM:616654</t>
        </is>
      </c>
      <c r="F125" s="8" t="inlineStr">
        <is>
          <t>OMIM phenotype entry</t>
        </is>
      </c>
      <c r="G125" s="8" t="inlineStr">
        <is>
          <t>Primary</t>
        </is>
      </c>
      <c r="H125" s="8" t="inlineStr">
        <is>
          <t>Neurodevelopmental ciliopathy</t>
        </is>
      </c>
      <c r="I125" s="8" t="inlineStr">
        <is>
          <t>TCTN2</t>
        </is>
      </c>
      <c r="J125" s="8" t="inlineStr">
        <is>
          <t>AR</t>
        </is>
      </c>
      <c r="K125" s="8" t="inlineStr">
        <is>
          <t>Eyes; Limbs; Nervous system; Skeletal</t>
        </is>
      </c>
      <c r="L125" s="8" t="n">
        <v>16</v>
      </c>
      <c r="M125" s="8" t="inlineStr">
        <is>
          <t>HP:0001344; HP:0001762; HP:0001321; HP:0001310; HP:0001288; HP:0000540; HP:0001162; HP:0001263; HP:0001252; HP:0001251; HP:0000639; HP:0001302; HP:0001830; HP:0001257; HP:0002126; HP:0001347</t>
        </is>
      </c>
      <c r="N125" s="8" t="inlineStr">
        <is>
          <t>Yes</t>
        </is>
      </c>
      <c r="O125" s="8" t="n"/>
      <c r="P125" s="8" t="n"/>
    </row>
    <row r="126">
      <c r="A126" s="8" t="inlineStr">
        <is>
          <t>CILP_0125</t>
        </is>
      </c>
      <c r="B126" s="8" t="inlineStr">
        <is>
          <t>Joubert Syndrome</t>
        </is>
      </c>
      <c r="C126" s="8" t="inlineStr">
        <is>
          <t>JBTS25</t>
        </is>
      </c>
      <c r="D126" s="8" t="inlineStr">
        <is>
          <t>616781</t>
        </is>
      </c>
      <c r="E126" s="8" t="inlineStr">
        <is>
          <t>OMIM:616781</t>
        </is>
      </c>
      <c r="F126" s="8" t="inlineStr">
        <is>
          <t>OMIM phenotype entry</t>
        </is>
      </c>
      <c r="G126" s="8" t="inlineStr">
        <is>
          <t>Primary</t>
        </is>
      </c>
      <c r="H126" s="8" t="inlineStr">
        <is>
          <t>Neurodevelopmental ciliopathy</t>
        </is>
      </c>
      <c r="I126" s="8" t="inlineStr">
        <is>
          <t>CEP104</t>
        </is>
      </c>
      <c r="J126" s="8" t="inlineStr">
        <is>
          <t>AR</t>
        </is>
      </c>
      <c r="K126" s="8" t="inlineStr">
        <is>
          <t>Eyes; Nervous system; Skeletal</t>
        </is>
      </c>
      <c r="L126" s="8" t="n">
        <v>7</v>
      </c>
      <c r="M126" s="8" t="inlineStr">
        <is>
          <t>HP:0001321; HP:0001263; HP:0001251; HP:0000657; HP:0001290; HP:0002419; HP:0000512</t>
        </is>
      </c>
      <c r="N126" s="8" t="inlineStr">
        <is>
          <t>Yes</t>
        </is>
      </c>
      <c r="O126" s="8" t="n"/>
      <c r="P126" s="8" t="n"/>
    </row>
    <row r="127">
      <c r="A127" s="8" t="inlineStr">
        <is>
          <t>CILP_0126</t>
        </is>
      </c>
      <c r="B127" s="8" t="inlineStr">
        <is>
          <t>Joubert Syndrome</t>
        </is>
      </c>
      <c r="C127" s="8" t="inlineStr">
        <is>
          <t>JBTS26</t>
        </is>
      </c>
      <c r="D127" s="8" t="inlineStr">
        <is>
          <t>616784</t>
        </is>
      </c>
      <c r="E127" s="8" t="inlineStr">
        <is>
          <t>OMIM:616784</t>
        </is>
      </c>
      <c r="F127" s="8" t="inlineStr">
        <is>
          <t>OMIM phenotype entry</t>
        </is>
      </c>
      <c r="G127" s="8" t="inlineStr">
        <is>
          <t>Primary</t>
        </is>
      </c>
      <c r="H127" s="8" t="inlineStr">
        <is>
          <t>Neurodevelopmental ciliopathy</t>
        </is>
      </c>
      <c r="I127" s="8" t="inlineStr">
        <is>
          <t>KATNIP</t>
        </is>
      </c>
      <c r="J127" s="8" t="inlineStr">
        <is>
          <t>AR</t>
        </is>
      </c>
      <c r="K127" s="8" t="inlineStr">
        <is>
          <t>Eyes; Endocrine; Growth; Genitourinary; Immune system; Head and neck; Nervous system; Respiratory; Skeletal</t>
        </is>
      </c>
      <c r="L127" s="8" t="n">
        <v>16</v>
      </c>
      <c r="M127" s="8" t="inlineStr">
        <is>
          <t>HP:0001320; HP:0000054; HP:0000175; HP:0000871; HP:0004322; HP:0000463; HP:0001263; HP:0001290; HP:0410030; HP:0011787; HP:0000639; HP:0000508; HP:0000316; HP:0000824; HP:0002007; HP:0002788</t>
        </is>
      </c>
      <c r="N127" s="8" t="inlineStr">
        <is>
          <t>Yes</t>
        </is>
      </c>
      <c r="O127" s="8" t="n"/>
      <c r="P127" s="8" t="n"/>
    </row>
    <row r="128">
      <c r="A128" s="8" t="inlineStr">
        <is>
          <t>CILP_0127</t>
        </is>
      </c>
      <c r="B128" s="8" t="inlineStr">
        <is>
          <t>Joubert Syndrome</t>
        </is>
      </c>
      <c r="C128" s="8" t="inlineStr">
        <is>
          <t>JBTS27</t>
        </is>
      </c>
      <c r="D128" s="8" t="inlineStr">
        <is>
          <t>617120</t>
        </is>
      </c>
      <c r="E128" s="8" t="inlineStr">
        <is>
          <t>OMIM:617120</t>
        </is>
      </c>
      <c r="F128" s="8" t="inlineStr">
        <is>
          <t>OMIM phenotype entry</t>
        </is>
      </c>
      <c r="G128" s="8" t="inlineStr">
        <is>
          <t>Primary</t>
        </is>
      </c>
      <c r="H128" s="8" t="inlineStr">
        <is>
          <t>Neurodevelopmental ciliopathy</t>
        </is>
      </c>
      <c r="I128" s="8" t="inlineStr">
        <is>
          <t>B9D1</t>
        </is>
      </c>
      <c r="J128" s="8" t="inlineStr">
        <is>
          <t>AR</t>
        </is>
      </c>
      <c r="K128" s="8" t="inlineStr">
        <is>
          <t>Eyes; Genitourinary; Head and neck; Limbs; Nervous system; Skeletal</t>
        </is>
      </c>
      <c r="L128" s="8" t="n">
        <v>15</v>
      </c>
      <c r="M128" s="8" t="inlineStr">
        <is>
          <t>HP:0008936; HP:0010946; HP:0002066; HP:0001263; HP:0001252; HP:0001251; HP:0010442; HP:0000657; HP:0020045; HP:0002419; HP:0002007; HP:0000488; HP:0000179; HP:0001249; HP:0000325</t>
        </is>
      </c>
      <c r="N128" s="8" t="inlineStr">
        <is>
          <t>Yes</t>
        </is>
      </c>
      <c r="O128" s="8" t="n"/>
      <c r="P128" s="8" t="n"/>
    </row>
    <row r="129">
      <c r="A129" s="8" t="inlineStr">
        <is>
          <t>CILP_0128</t>
        </is>
      </c>
      <c r="B129" s="8" t="inlineStr">
        <is>
          <t>Joubert Syndrome</t>
        </is>
      </c>
      <c r="C129" s="8" t="inlineStr">
        <is>
          <t>JBTS28</t>
        </is>
      </c>
      <c r="D129" s="8" t="inlineStr">
        <is>
          <t>617121</t>
        </is>
      </c>
      <c r="E129" s="8" t="inlineStr">
        <is>
          <t>OMIM:617121</t>
        </is>
      </c>
      <c r="F129" s="8" t="inlineStr">
        <is>
          <t>OMIM phenotype entry</t>
        </is>
      </c>
      <c r="G129" s="8" t="inlineStr">
        <is>
          <t>Primary</t>
        </is>
      </c>
      <c r="H129" s="8" t="inlineStr">
        <is>
          <t>Neurodevelopmental ciliopathy</t>
        </is>
      </c>
      <c r="I129" s="8" t="inlineStr">
        <is>
          <t>MKS1</t>
        </is>
      </c>
      <c r="J129" s="8" t="inlineStr">
        <is>
          <t>AR</t>
        </is>
      </c>
      <c r="K129" s="8" t="inlineStr">
        <is>
          <t>Eyes; Head and neck; Nervous system; Skeletal; Skin</t>
        </is>
      </c>
      <c r="L129" s="8" t="n">
        <v>18</v>
      </c>
      <c r="M129" s="8" t="inlineStr">
        <is>
          <t>HP:0002553; HP:0000486; HP:0000750; HP:0000431; HP:0001382; HP:0002395; HP:0001260; HP:0001263; HP:0001251; HP:0000580; HP:0001290; HP:0000639; HP:0000657; HP:0000316; HP:0002419; HP:0000337; HP:0000543; HP:0001249</t>
        </is>
      </c>
      <c r="N129" s="8" t="inlineStr">
        <is>
          <t>Yes</t>
        </is>
      </c>
      <c r="O129" s="8" t="n"/>
      <c r="P129" s="8" t="n"/>
    </row>
    <row r="130">
      <c r="A130" s="8" t="inlineStr">
        <is>
          <t>CILP_0129</t>
        </is>
      </c>
      <c r="B130" s="8" t="inlineStr">
        <is>
          <t>Joubert Syndrome</t>
        </is>
      </c>
      <c r="C130" s="8" t="inlineStr">
        <is>
          <t>JBTS29</t>
        </is>
      </c>
      <c r="D130" s="8" t="inlineStr">
        <is>
          <t>617562</t>
        </is>
      </c>
      <c r="E130" s="8" t="inlineStr">
        <is>
          <t>OMIM:617562</t>
        </is>
      </c>
      <c r="F130" s="8" t="inlineStr">
        <is>
          <t>OMIM phenotype entry</t>
        </is>
      </c>
      <c r="G130" s="8" t="inlineStr">
        <is>
          <t>Primary</t>
        </is>
      </c>
      <c r="H130" s="8" t="inlineStr">
        <is>
          <t>Neurodevelopmental ciliopathy</t>
        </is>
      </c>
      <c r="I130" s="8" t="inlineStr">
        <is>
          <t>TMEM107</t>
        </is>
      </c>
      <c r="J130" s="8" t="inlineStr">
        <is>
          <t>AR</t>
        </is>
      </c>
      <c r="K130" s="8" t="inlineStr">
        <is>
          <t>Eyes; Genitourinary; Head and neck; Nervous system; Skeletal</t>
        </is>
      </c>
      <c r="L130" s="8" t="n">
        <v>11</v>
      </c>
      <c r="M130" s="8" t="inlineStr">
        <is>
          <t>HP:0001321; HP:0001371; HP:0001263; HP:0002085; HP:0001251; HP:0000657; HP:0002419; HP:0000488; HP:0000113; HP:0001249; HP:0000347</t>
        </is>
      </c>
      <c r="N130" s="8" t="inlineStr">
        <is>
          <t>Yes</t>
        </is>
      </c>
      <c r="O130" s="8" t="n"/>
      <c r="P130" s="8" t="inlineStr">
        <is>
          <t>Same OMIM entry also curated under Meckel–Gruber Syndrome (CILP_0183)</t>
        </is>
      </c>
    </row>
    <row r="131">
      <c r="A131" s="8" t="inlineStr">
        <is>
          <t>CILP_0130</t>
        </is>
      </c>
      <c r="B131" s="8" t="inlineStr">
        <is>
          <t>Joubert Syndrome</t>
        </is>
      </c>
      <c r="C131" s="8" t="inlineStr">
        <is>
          <t>JBTS30</t>
        </is>
      </c>
      <c r="D131" s="8" t="inlineStr">
        <is>
          <t>617622</t>
        </is>
      </c>
      <c r="E131" s="8" t="inlineStr">
        <is>
          <t>OMIM:617622</t>
        </is>
      </c>
      <c r="F131" s="8" t="inlineStr">
        <is>
          <t>OMIM phenotype entry</t>
        </is>
      </c>
      <c r="G131" s="8" t="inlineStr">
        <is>
          <t>Primary</t>
        </is>
      </c>
      <c r="H131" s="8" t="inlineStr">
        <is>
          <t>Neurodevelopmental ciliopathy</t>
        </is>
      </c>
      <c r="I131" s="8" t="inlineStr">
        <is>
          <t>ARMC9</t>
        </is>
      </c>
      <c r="J131" s="8" t="inlineStr">
        <is>
          <t>AR</t>
        </is>
      </c>
      <c r="K131" s="8" t="inlineStr">
        <is>
          <t>Eyes; Genitourinary; Head and neck; Limbs; Nervous system; Respiratory; Skeletal</t>
        </is>
      </c>
      <c r="L131" s="8" t="n">
        <v>30</v>
      </c>
      <c r="M131" s="8" t="inlineStr">
        <is>
          <t>HP:0001272; HP:0001250; HP:0001274; HP:0001252; HP:0002282; HP:0010442; HP:0001305; HP:0002419; HP:0007663; HP:0000219; HP:0002119; HP:0000218; HP:0001249; HP:0000556; HP:0000054; HP:0000750; HP:0000431; HP:0000496; HP:0001162; HP:0020185; HP:0000193; HP:0001263; HP:0004691; HP:0000609; HP:0000508; HP:0002789; HP:0002104; HP:0000589; HP:0000347; HP:0002126</t>
        </is>
      </c>
      <c r="N131" s="8" t="inlineStr">
        <is>
          <t>Yes</t>
        </is>
      </c>
      <c r="O131" s="8" t="n"/>
      <c r="P131" s="8" t="n"/>
    </row>
    <row r="132">
      <c r="A132" s="8" t="inlineStr">
        <is>
          <t>CILP_0131</t>
        </is>
      </c>
      <c r="B132" s="8" t="inlineStr">
        <is>
          <t>Joubert Syndrome</t>
        </is>
      </c>
      <c r="C132" s="8" t="inlineStr">
        <is>
          <t>JBTS32</t>
        </is>
      </c>
      <c r="D132" s="8" t="inlineStr">
        <is>
          <t>617757</t>
        </is>
      </c>
      <c r="E132" s="8" t="inlineStr">
        <is>
          <t>OMIM:617757</t>
        </is>
      </c>
      <c r="F132" s="8" t="inlineStr">
        <is>
          <t>OMIM phenotype entry</t>
        </is>
      </c>
      <c r="G132" s="8" t="inlineStr">
        <is>
          <t>Primary</t>
        </is>
      </c>
      <c r="H132" s="8" t="inlineStr">
        <is>
          <t>Neurodevelopmental ciliopathy</t>
        </is>
      </c>
      <c r="I132" s="8" t="inlineStr">
        <is>
          <t>SUFU</t>
        </is>
      </c>
      <c r="J132" s="8" t="inlineStr">
        <is>
          <t>AR</t>
        </is>
      </c>
      <c r="K132" s="8" t="inlineStr">
        <is>
          <t>Eyes; Cardiovascular; Growth; Head and neck; Limbs; Nervous system; Skeletal</t>
        </is>
      </c>
      <c r="L132" s="8" t="n">
        <v>20</v>
      </c>
      <c r="M132" s="8" t="inlineStr">
        <is>
          <t>HP:0000098; HP:0001256; HP:0001520; HP:0001162; HP:0001260; HP:0001263; HP:0001252; HP:0001251; HP:0002280; HP:0005280; HP:0000639; HP:0001639; HP:0001317; HP:0000316; HP:0000657; HP:0002419; HP:0002007; HP:0001830; HP:0000256; HP:0002126</t>
        </is>
      </c>
      <c r="N132" s="8" t="inlineStr">
        <is>
          <t>Yes</t>
        </is>
      </c>
      <c r="O132" s="8" t="n"/>
      <c r="P132" s="8" t="n"/>
    </row>
    <row r="133">
      <c r="A133" s="8" t="inlineStr">
        <is>
          <t>CILP_0132</t>
        </is>
      </c>
      <c r="B133" s="8" t="inlineStr">
        <is>
          <t>Joubert Syndrome</t>
        </is>
      </c>
      <c r="C133" s="8" t="inlineStr">
        <is>
          <t>JBTS31</t>
        </is>
      </c>
      <c r="D133" s="8" t="inlineStr">
        <is>
          <t>617761</t>
        </is>
      </c>
      <c r="E133" s="8" t="inlineStr">
        <is>
          <t>OMIM:617761</t>
        </is>
      </c>
      <c r="F133" s="8" t="inlineStr">
        <is>
          <t>OMIM phenotype entry</t>
        </is>
      </c>
      <c r="G133" s="8" t="inlineStr">
        <is>
          <t>Primary</t>
        </is>
      </c>
      <c r="H133" s="8" t="inlineStr">
        <is>
          <t>Neurodevelopmental ciliopathy</t>
        </is>
      </c>
      <c r="I133" s="8" t="inlineStr">
        <is>
          <t>CEP120</t>
        </is>
      </c>
      <c r="J133" s="8" t="inlineStr">
        <is>
          <t>AR</t>
        </is>
      </c>
      <c r="K133" s="8" t="inlineStr">
        <is>
          <t>Eyes; Nervous system; Skeletal</t>
        </is>
      </c>
      <c r="L133" s="8" t="n">
        <v>10</v>
      </c>
      <c r="M133" s="8" t="inlineStr">
        <is>
          <t>HP:0000486; HP:0002078; HP:0002079; HP:0000639; HP:0001263; HP:0001252; HP:0000657; HP:0002419; HP:0002119; HP:0009921</t>
        </is>
      </c>
      <c r="N133" s="8" t="inlineStr">
        <is>
          <t>Yes</t>
        </is>
      </c>
      <c r="O133" s="8" t="n"/>
      <c r="P133" s="8" t="n"/>
    </row>
    <row r="134">
      <c r="A134" s="8" t="inlineStr">
        <is>
          <t>CILP_0133</t>
        </is>
      </c>
      <c r="B134" s="8" t="inlineStr">
        <is>
          <t>Joubert Syndrome</t>
        </is>
      </c>
      <c r="C134" s="8" t="inlineStr">
        <is>
          <t>JBTS33</t>
        </is>
      </c>
      <c r="D134" s="8" t="inlineStr">
        <is>
          <t>617767</t>
        </is>
      </c>
      <c r="E134" s="8" t="inlineStr">
        <is>
          <t>OMIM:617767</t>
        </is>
      </c>
      <c r="F134" s="8" t="inlineStr">
        <is>
          <t>OMIM phenotype entry</t>
        </is>
      </c>
      <c r="G134" s="8" t="inlineStr">
        <is>
          <t>Primary</t>
        </is>
      </c>
      <c r="H134" s="8" t="inlineStr">
        <is>
          <t>Neurodevelopmental ciliopathy</t>
        </is>
      </c>
      <c r="I134" s="8" t="inlineStr">
        <is>
          <t>PIBF1</t>
        </is>
      </c>
      <c r="J134" s="8" t="inlineStr">
        <is>
          <t>AR</t>
        </is>
      </c>
      <c r="K134" s="8" t="inlineStr">
        <is>
          <t>Abdomen; Eyes; Cardiovascular; Immune system; Head and neck; Limbs; Nervous system; Respiratory; Skeletal</t>
        </is>
      </c>
      <c r="L134" s="8" t="n">
        <v>11</v>
      </c>
      <c r="M134" s="8" t="inlineStr">
        <is>
          <t>HP:0002188; HP:0001263; HP:0001252; HP:0001251; HP:0000657; HP:0002419; HP:0000548; HP:0001159; HP:0000256; HP:0002104; HP:0001744</t>
        </is>
      </c>
      <c r="N134" s="8" t="inlineStr">
        <is>
          <t>Yes</t>
        </is>
      </c>
      <c r="O134" s="8" t="n"/>
      <c r="P134" s="8" t="n"/>
    </row>
    <row r="135">
      <c r="A135" s="8" t="inlineStr">
        <is>
          <t>CILP_0134</t>
        </is>
      </c>
      <c r="B135" s="8" t="inlineStr">
        <is>
          <t>Joubert Syndrome</t>
        </is>
      </c>
      <c r="C135" s="8" t="inlineStr">
        <is>
          <t>JBTS35</t>
        </is>
      </c>
      <c r="D135" s="8" t="inlineStr">
        <is>
          <t>618161</t>
        </is>
      </c>
      <c r="E135" s="8" t="inlineStr">
        <is>
          <t>OMIM:618161</t>
        </is>
      </c>
      <c r="F135" s="8" t="inlineStr">
        <is>
          <t>OMIM phenotype entry</t>
        </is>
      </c>
      <c r="G135" s="8" t="inlineStr">
        <is>
          <t>Primary</t>
        </is>
      </c>
      <c r="H135" s="8" t="inlineStr">
        <is>
          <t>Neurodevelopmental ciliopathy</t>
        </is>
      </c>
      <c r="I135" s="8" t="inlineStr">
        <is>
          <t>ARL3</t>
        </is>
      </c>
      <c r="J135" s="8" t="inlineStr">
        <is>
          <t>AR</t>
        </is>
      </c>
      <c r="K135" s="8" t="inlineStr">
        <is>
          <t>Eyes; Ears; Genitourinary; Immune system; Head and neck; Limbs; Nervous system; Metabolism; Skeletal; Skin</t>
        </is>
      </c>
      <c r="L135" s="8" t="n">
        <v>25</v>
      </c>
      <c r="M135" s="8" t="inlineStr">
        <is>
          <t>HP:0000662; HP:0000463; HP:0001251; HP:0001290; HP:0011933; HP:0000657; HP:0000954; HP:0002419; HP:0000510; HP:0001320; HP:0002553; HP:0000010; HP:0001263; HP:0030760; HP:0004370; HP:0005280; HP:0010535; HP:0000529; HP:0000506; HP:0000508; HP:0000768; HP:0000664; HP:0000003; HP:0000369; HP:0000126</t>
        </is>
      </c>
      <c r="N135" s="8" t="inlineStr">
        <is>
          <t>Yes</t>
        </is>
      </c>
      <c r="O135" s="8" t="n"/>
      <c r="P135" s="8" t="n"/>
    </row>
    <row r="136">
      <c r="A136" s="8" t="inlineStr">
        <is>
          <t>CILP_0135</t>
        </is>
      </c>
      <c r="B136" s="8" t="inlineStr">
        <is>
          <t>Joubert Syndrome</t>
        </is>
      </c>
      <c r="C136" s="8" t="inlineStr">
        <is>
          <t>JBTS36</t>
        </is>
      </c>
      <c r="D136" s="8" t="inlineStr">
        <is>
          <t>618763</t>
        </is>
      </c>
      <c r="E136" s="8" t="inlineStr">
        <is>
          <t>OMIM:618763</t>
        </is>
      </c>
      <c r="F136" s="8" t="inlineStr">
        <is>
          <t>OMIM phenotype entry</t>
        </is>
      </c>
      <c r="G136" s="8" t="inlineStr">
        <is>
          <t>Primary</t>
        </is>
      </c>
      <c r="H136" s="8" t="inlineStr">
        <is>
          <t>Neurodevelopmental ciliopathy</t>
        </is>
      </c>
      <c r="I136" s="8" t="inlineStr">
        <is>
          <t>FAM149B1</t>
        </is>
      </c>
      <c r="J136" s="8" t="inlineStr">
        <is>
          <t>AR</t>
        </is>
      </c>
      <c r="K136" s="8" t="inlineStr">
        <is>
          <t>Eyes; Ears; Head and neck; Limbs; Nervous system; Skeletal; Skin</t>
        </is>
      </c>
      <c r="L136" s="8" t="n">
        <v>14</v>
      </c>
      <c r="M136" s="8" t="inlineStr">
        <is>
          <t>HP:0002553; HP:0000486; HP:0000463; HP:0000194; HP:0001250; HP:0001263; HP:0000407; HP:0011220; HP:0000508; HP:0002419; HP:0000768; HP:0006159; HP:0000256; HP:0001249</t>
        </is>
      </c>
      <c r="N136" s="8" t="inlineStr">
        <is>
          <t>Yes</t>
        </is>
      </c>
      <c r="O136" s="8" t="n"/>
      <c r="P136" s="8" t="n"/>
    </row>
    <row r="137">
      <c r="A137" s="8" t="inlineStr">
        <is>
          <t>CILP_0136</t>
        </is>
      </c>
      <c r="B137" s="8" t="inlineStr">
        <is>
          <t>Joubert Syndrome</t>
        </is>
      </c>
      <c r="C137" s="8" t="inlineStr">
        <is>
          <t>JBTS37</t>
        </is>
      </c>
      <c r="D137" s="8" t="inlineStr">
        <is>
          <t>619185</t>
        </is>
      </c>
      <c r="E137" s="8" t="inlineStr">
        <is>
          <t>OMIM:619185</t>
        </is>
      </c>
      <c r="F137" s="8" t="inlineStr">
        <is>
          <t>OMIM phenotype entry</t>
        </is>
      </c>
      <c r="G137" s="8" t="inlineStr">
        <is>
          <t>Primary</t>
        </is>
      </c>
      <c r="H137" s="8" t="inlineStr">
        <is>
          <t>Neurodevelopmental ciliopathy</t>
        </is>
      </c>
      <c r="I137" s="8" t="inlineStr">
        <is>
          <t>TOGARAM1</t>
        </is>
      </c>
      <c r="J137" s="8" t="inlineStr">
        <is>
          <t>AR</t>
        </is>
      </c>
      <c r="K137" s="8" t="inlineStr">
        <is>
          <t>Abdomen; Eyes; Ears; Growth; Genitourinary; Head and neck; Limbs; Nervous system; Skeletal; Skin</t>
        </is>
      </c>
      <c r="L137" s="8" t="n">
        <v>34</v>
      </c>
      <c r="M137" s="8" t="inlineStr">
        <is>
          <t>HP:0025186; HP:0000463; HP:0004322; HP:0002240; HP:0001290; HP:0008070; HP:0002938; HP:0000316; HP:0000657; HP:0002419; HP:0000218; HP:0006610; HP:0008734; HP:0000358; HP:0001320; HP:0000054; HP:0000431; HP:0000475; HP:0001344; HP:0002079; HP:0005487; HP:0001382; HP:0000490; HP:0001263; HP:0100259; HP:0000729; HP:0000508; HP:0000568; HP:0002007; HP:0000369; HP:0000028; HP:0001513; HP:0000445; HP:0000126</t>
        </is>
      </c>
      <c r="N137" s="8" t="inlineStr">
        <is>
          <t>Yes</t>
        </is>
      </c>
      <c r="O137" s="8" t="n"/>
      <c r="P137" s="8" t="n"/>
    </row>
    <row r="138">
      <c r="A138" s="8" t="inlineStr">
        <is>
          <t>CILP_0137</t>
        </is>
      </c>
      <c r="B138" s="8" t="inlineStr">
        <is>
          <t>Joubert Syndrome</t>
        </is>
      </c>
      <c r="C138" s="8" t="inlineStr">
        <is>
          <t>JBTS38</t>
        </is>
      </c>
      <c r="D138" s="8" t="inlineStr">
        <is>
          <t>619476</t>
        </is>
      </c>
      <c r="E138" s="8" t="inlineStr">
        <is>
          <t>OMIM:619476</t>
        </is>
      </c>
      <c r="F138" s="8" t="inlineStr">
        <is>
          <t>OMIM phenotype entry</t>
        </is>
      </c>
      <c r="G138" s="8" t="inlineStr">
        <is>
          <t>Primary</t>
        </is>
      </c>
      <c r="H138" s="8" t="inlineStr">
        <is>
          <t>Neurodevelopmental ciliopathy</t>
        </is>
      </c>
      <c r="I138" s="8" t="inlineStr">
        <is>
          <t>KIAA0753</t>
        </is>
      </c>
      <c r="J138" s="8" t="inlineStr">
        <is>
          <t>AR</t>
        </is>
      </c>
      <c r="K138" s="8" t="inlineStr">
        <is>
          <t>Eyes; Ears; Endocrine; Growth; Head and neck; Nervous system; Skeletal</t>
        </is>
      </c>
      <c r="L138" s="8" t="n">
        <v>20</v>
      </c>
      <c r="M138" s="8" t="inlineStr">
        <is>
          <t>HP:0001320; HP:0000286; HP:0000486; HP:0004322; HP:0000540; HP:0030353; HP:0001263; HP:0001252; HP:0011755; HP:0012506; HP:0011220; HP:0007068; HP:0000657; HP:0002419; HP:0000824; HP:0002714; HP:0000565; HP:0002007; HP:0000358; HP:0000369</t>
        </is>
      </c>
      <c r="N138" s="8" t="inlineStr">
        <is>
          <t>Yes</t>
        </is>
      </c>
      <c r="O138" s="8" t="n"/>
      <c r="P138" s="8" t="n"/>
    </row>
    <row r="139">
      <c r="A139" s="8" t="inlineStr">
        <is>
          <t>CILP_0138</t>
        </is>
      </c>
      <c r="B139" s="8" t="inlineStr">
        <is>
          <t>Joubert Syndrome</t>
        </is>
      </c>
      <c r="C139" s="8" t="inlineStr">
        <is>
          <t>JBTS39</t>
        </is>
      </c>
      <c r="D139" s="8" t="inlineStr">
        <is>
          <t>619562</t>
        </is>
      </c>
      <c r="E139" s="8" t="inlineStr">
        <is>
          <t>OMIM:619562</t>
        </is>
      </c>
      <c r="F139" s="8" t="inlineStr">
        <is>
          <t>OMIM phenotype entry</t>
        </is>
      </c>
      <c r="G139" s="8" t="inlineStr">
        <is>
          <t>Primary</t>
        </is>
      </c>
      <c r="H139" s="8" t="inlineStr">
        <is>
          <t>Neurodevelopmental ciliopathy</t>
        </is>
      </c>
      <c r="I139" s="8" t="inlineStr">
        <is>
          <t>TMEM218</t>
        </is>
      </c>
      <c r="J139" s="8" t="inlineStr">
        <is>
          <t>AR</t>
        </is>
      </c>
      <c r="K139" s="8" t="inlineStr">
        <is>
          <t>Eyes; Cardiovascular; Growth; Genitourinary; Head and neck; Limbs; Nervous system; Respiratory; Skeletal</t>
        </is>
      </c>
      <c r="L139" s="8" t="n">
        <v>13</v>
      </c>
      <c r="M139" s="8" t="inlineStr">
        <is>
          <t>HP:0001320; HP:0002085; HP:0001263; HP:0004383; HP:0100259; HP:0040213; HP:0009183; HP:0007021; HP:0000657; HP:0002419; HP:0025502; HP:0000113; HP:0000556</t>
        </is>
      </c>
      <c r="N139" s="8" t="inlineStr">
        <is>
          <t>Yes</t>
        </is>
      </c>
      <c r="O139" s="8" t="n"/>
      <c r="P139" s="8" t="n"/>
    </row>
    <row r="140">
      <c r="A140" s="8" t="inlineStr">
        <is>
          <t>CILP_0139</t>
        </is>
      </c>
      <c r="B140" s="8" t="inlineStr">
        <is>
          <t>Joubert Syndrome</t>
        </is>
      </c>
      <c r="C140" s="8" t="inlineStr">
        <is>
          <t>JBTS40</t>
        </is>
      </c>
      <c r="D140" s="8" t="inlineStr">
        <is>
          <t>619582</t>
        </is>
      </c>
      <c r="E140" s="8" t="inlineStr">
        <is>
          <t>OMIM:619582</t>
        </is>
      </c>
      <c r="F140" s="8" t="inlineStr">
        <is>
          <t>OMIM phenotype entry</t>
        </is>
      </c>
      <c r="G140" s="8" t="inlineStr">
        <is>
          <t>Primary</t>
        </is>
      </c>
      <c r="H140" s="8" t="inlineStr">
        <is>
          <t>Neurodevelopmental ciliopathy</t>
        </is>
      </c>
      <c r="I140" s="8" t="inlineStr">
        <is>
          <t>IFT74</t>
        </is>
      </c>
      <c r="J140" s="8" t="inlineStr">
        <is>
          <t>AR</t>
        </is>
      </c>
      <c r="K140" s="8" t="inlineStr">
        <is>
          <t>Eyes; Head and neck; Limbs; Nervous system; Skeletal</t>
        </is>
      </c>
      <c r="L140" s="8" t="n">
        <v>10</v>
      </c>
      <c r="M140" s="8" t="inlineStr">
        <is>
          <t>HP:0100259; HP:0000609; HP:0001263; HP:0001252; HP:0000657; HP:0002419; HP:0001270; HP:0007874; HP:0005280; HP:0001249</t>
        </is>
      </c>
      <c r="N140" s="8" t="inlineStr">
        <is>
          <t>Yes</t>
        </is>
      </c>
      <c r="O140" s="8" t="n"/>
      <c r="P140" s="8" t="n"/>
    </row>
    <row r="141">
      <c r="A141" s="8" t="inlineStr">
        <is>
          <t>CILP_0140</t>
        </is>
      </c>
      <c r="B141" s="8" t="inlineStr">
        <is>
          <t>Joubert Syndrome</t>
        </is>
      </c>
      <c r="C141" s="8" t="inlineStr">
        <is>
          <t>JBTS</t>
        </is>
      </c>
      <c r="D141" s="8" t="n"/>
      <c r="E141" s="8" t="inlineStr">
        <is>
          <t>OMIM:200990; OMIM:213300; OMIM:300804; OMIM:608091; OMIM:608629; OMIM:609583; OMIM:610188; OMIM:610688; OMIM:611560; OMIM:612285; OMIM:612291; OMIM:613820; OMIM:614173; OMIM:614175; OMIM:614424; OMIM:614464; OMIM:614465; OMIM:614615; OMIM:614815; OMIM:614844; OMIM:614970; OMIM:615636; OMIM:615665; OMIM:616490; OMIM:616654; OMIM:616781; OMIM:616784; OMIM:617120; OMIM:617121; OMIM:617562; OMIM:617622; OMIM:617757; OMIM:617761; OMIM:617767; OMIM:618161; OMIM:618763; OMIM:619185; OMIM:619476; OMIM:619562; OMIM:619582</t>
        </is>
      </c>
      <c r="F141" s="8" t="inlineStr">
        <is>
          <t>Family-level record (combined OMIM entries)</t>
        </is>
      </c>
      <c r="G141" s="8" t="inlineStr">
        <is>
          <t>Primary</t>
        </is>
      </c>
      <c r="H141" s="8" t="inlineStr">
        <is>
          <t>Neurodevelopmental ciliopathy</t>
        </is>
      </c>
      <c r="I141" s="8" t="inlineStr">
        <is>
          <t>ADAMTS9; CBY1; CC2D1A; LAMA1; LRRCC1; RNU4ATAC; TOPORS</t>
        </is>
      </c>
      <c r="J141" s="8" t="inlineStr">
        <is>
          <t>AR; XLR; AD</t>
        </is>
      </c>
      <c r="K141" s="8" t="inlineStr">
        <is>
          <t>Abdomen; Eyes; Ears; Cardiovascular; Endocrine; Growth; Genitourinary; Immune system; Head and neck; Limbs; Nervous system; Metabolism; Respiratory; Skeletal; Skin</t>
        </is>
      </c>
      <c r="L141" s="8" t="n">
        <v>329</v>
      </c>
      <c r="M141" s="8" t="inlineStr">
        <is>
          <t>HP:0001177; HP:0000286; HP:0001770; HP:0000486; HP:0000365; HP:0010803; HP:0002023; HP:0001250; HP:0002263; HP:0010808; HP:0000160; HP:0003196; HP:0001252; HP:0001290; HP:0010291; HP:0000639; HP:0000319; HP:0012471; HP:0011220; HP:0000316; HP:0008897; HP:0009942; HP:0001841; HP:0000358; HP:0001249; HP:0000054; HP:0000494; HP:0000175; HP:0005148; HP:0001182; HP:0001537; HP:0006101; HP:0000648; HP:0000207; HP:0004209; HP:0009611; HP:0000322; HP:0000047; HP:0000685; HP:0000369; HP:0000204; HP:0000143; HP:0000384; HP:0006329; HP:0001671; HP:0000343; HP:0000023; HP:0001156; HP:0000260; HP:0001274; HP:0010864; HP:0001508; HP:0000337; HP:0030680; HP:0000218; HP:0002714; HP:0006335; HP:0000256; HP:0000212; HP:0000377; HP:0000154; HP:0000431; HP:0000233; HP:0001641; HP:0001162; HP:0000194; HP:0003781; HP:0000193; HP:0000190; HP:0010576; HP:0007370; HP:0000308; HP:0010066; HP:0007894; HP:0001830; HP:0002007; HP:0001510; HP:0000303; HP:0000028; HP:0000589; HP:0000269; HP:0002421; HP:0001251; HP:0011933; HP:0000718; HP:0002419; HP:0025336; HP:0000752; HP:0000158; HP:0002335; HP:0000556; HP:0002553; HP:0000252; HP:0002871; HP:0000570; HP:0002195; HP:0001263; HP:0002790; HP:0007271; HP:0002508; HP:0000567; HP:0000463; HP:0002365; HP:0001395; HP:0010828; HP:0000617; HP:0000657; HP:0030084; HP:0002876; HP:0001320; HP:0000750; HP:0000112; HP:0031936; HP:0100951; HP:0000508; HP:0007772; HP:0000107; HP:0007973; HP:0000543; HP:0001357; HP:0000588; HP:0000742; HP:0200096; HP:0004325; HP:0004322; HP:0001310; HP:0002002; HP:0002187; HP:0001270; HP:0002280; HP:0025161; HP:0002719; HP:0008872; HP:0000510; HP:0001007; HP:0001561; HP:0001344; HP:0002591; HP:0033454; HP:0001954; HP:0000405; HP:0001513; HP:0000083; HP:0001273; HP:0002084; HP:0000238; HP:0001760; HP:0001583; HP:0000050; HP:0000090; HP:0005280; HP:0011330; HP:0000568; HP:0000505; HP:0000565; HP:0000268; HP:0002404; HP:0003774; HP:0000580; HP:0033725; HP:0000512; HP:0006956; HP:0001631; HP:0006821; HP:0000571; HP:0002172; HP:0002194; HP:0100957; HP:0000480; HP:0002085; HP:0007663; HP:0005565; HP:0006817; HP:0000803; HP:0004727; HP:0007875; HP:0002198; HP:0001408; HP:0000618; HP:0000546; HP:0000733; HP:0005957; HP:0002857; HP:0002650; HP:0100259; HP:0002789; HP:0000483; HP:0000518; HP:0100704; HP:0002119; HP:0002104; HP:0002883; HP:0001276; HP:0002240; HP:0006579; HP:0001302; HP:0002323; HP:0009487; HP:0001305; HP:0001321; HP:0045025; HP:0012385; HP:0006563; HP:0000960; HP:0010804; HP:0001629; HP:0000737; HP:0025514; HP:0002435; HP:0002079; HP:0000490; HP:0000272; HP:0002170; HP:0000822; HP:0000426; HP:0000348; HP:0000062; HP:0030769; HP:0100258; HP:0000488; HP:0010442; HP:0011939; HP:0012210; HP:0000479; HP:0000085; HP:0000180; HP:0034044; HP:0002139; HP:0000278; HP:0002751; HP:0005248; HP:0001762; HP:0000496; HP:0001382; HP:0006487; HP:0001511; HP:0001696; HP:0000113; HP:0002540; HP:0004692; HP:0002093; HP:0002089; HP:0001591; HP:0004719; HP:0002878; HP:0000773; HP:0001744; HP:0002015; HP:0002094; HP:0034302; HP:0011109; HP:0007291; HP:0000528; HP:0000407; HP:0009932; HP:0000550; HP:0000089; HP:0004691; HP:0001999; HP:0007112; HP:0006989; HP:0007033; HP:0001288; HP:0000540; HP:0001257; HP:0002126; HP:0001347; HP:0000871; HP:0410030; HP:0011787; HP:0000824; HP:0002788; HP:0008936; HP:0010946; HP:0002066; HP:0020045; HP:0000179; HP:0000325; HP:0002395; HP:0001260; HP:0001371; HP:0000347; HP:0001272; HP:0002282; HP:0000219; HP:0020185; HP:0000609; HP:0000098; HP:0001256; HP:0001520; HP:0001639; HP:0001317; HP:0002078; HP:0009921; HP:0002188; HP:0000548; HP:0001159; HP:0000662; HP:0000954; HP:0000010; HP:0030760; HP:0004370; HP:0010535; HP:0000529; HP:0000506; HP:0000768; HP:0000664; HP:0000003; HP:0000126; HP:0006159; HP:0025186; HP:0008070; HP:0002938; HP:0006610; HP:0008734; HP:0000475; HP:0005487; HP:0000729; HP:0000445; HP:0030353; HP:0011755; HP:0012506; HP:0007068; HP:0004383; HP:0040213; HP:0009183; HP:0007021; HP:0025502; HP:0007874</t>
        </is>
      </c>
      <c r="N141" s="8" t="inlineStr">
        <is>
          <t>Yes</t>
        </is>
      </c>
      <c r="O141" s="8" t="n"/>
      <c r="P141" s="8" t="n"/>
    </row>
    <row r="142">
      <c r="A142" s="8" t="inlineStr">
        <is>
          <t>CILP_0141</t>
        </is>
      </c>
      <c r="B142" s="8" t="inlineStr">
        <is>
          <t>Juvenile Myoclonic Epilepsy</t>
        </is>
      </c>
      <c r="C142" s="8" t="inlineStr">
        <is>
          <t>EJM1</t>
        </is>
      </c>
      <c r="D142" s="8" t="inlineStr">
        <is>
          <t>254770</t>
        </is>
      </c>
      <c r="E142" s="8" t="inlineStr">
        <is>
          <t>OMIM:254770</t>
        </is>
      </c>
      <c r="F142" s="8" t="inlineStr">
        <is>
          <t>OMIM phenotype entry</t>
        </is>
      </c>
      <c r="G142" s="8" t="inlineStr">
        <is>
          <t>Motile</t>
        </is>
      </c>
      <c r="H142" s="8" t="inlineStr">
        <is>
          <t>Atypical / secondary ciliopathy</t>
        </is>
      </c>
      <c r="I142" s="8" t="inlineStr">
        <is>
          <t>EFHC1</t>
        </is>
      </c>
      <c r="J142" s="8" t="inlineStr">
        <is>
          <t>AD</t>
        </is>
      </c>
      <c r="K142" s="8" t="inlineStr">
        <is>
          <t>Nervous system</t>
        </is>
      </c>
      <c r="L142" s="8" t="n">
        <v>7</v>
      </c>
      <c r="M142" s="8" t="inlineStr">
        <is>
          <t>HP:0002069; HP:0012001; HP:0002133; HP:0002121; HP:0007000; HP:0032794; HP:0001249</t>
        </is>
      </c>
      <c r="N142" s="8" t="inlineStr">
        <is>
          <t>Yes</t>
        </is>
      </c>
      <c r="O142" s="8" t="n"/>
      <c r="P142" s="8" t="n"/>
    </row>
    <row r="143">
      <c r="A143" s="8" t="inlineStr">
        <is>
          <t>CILP_0142</t>
        </is>
      </c>
      <c r="B143" s="8" t="inlineStr">
        <is>
          <t>Juvenile Myoclonic Epilepsy</t>
        </is>
      </c>
      <c r="C143" s="8" t="inlineStr">
        <is>
          <t>EJM8</t>
        </is>
      </c>
      <c r="D143" s="8" t="inlineStr">
        <is>
          <t>607628</t>
        </is>
      </c>
      <c r="E143" s="8" t="inlineStr">
        <is>
          <t>OMIM:607628</t>
        </is>
      </c>
      <c r="F143" s="8" t="inlineStr">
        <is>
          <t>OMIM phenotype entry</t>
        </is>
      </c>
      <c r="G143" s="8" t="inlineStr">
        <is>
          <t>Motile</t>
        </is>
      </c>
      <c r="H143" s="8" t="inlineStr">
        <is>
          <t>Atypical / secondary ciliopathy</t>
        </is>
      </c>
      <c r="I143" s="8" t="inlineStr">
        <is>
          <t>CLCN2</t>
        </is>
      </c>
      <c r="J143" s="8" t="inlineStr">
        <is>
          <t>AD</t>
        </is>
      </c>
      <c r="K143" s="8" t="inlineStr">
        <is>
          <t>Nervous system</t>
        </is>
      </c>
      <c r="L143" s="8" t="n">
        <v>3</v>
      </c>
      <c r="M143" s="8" t="inlineStr">
        <is>
          <t>HP:0007193; HP:0002123; HP:0002121</t>
        </is>
      </c>
      <c r="N143" s="8" t="inlineStr">
        <is>
          <t>Yes</t>
        </is>
      </c>
      <c r="O143" s="8" t="n"/>
      <c r="P143" s="8" t="n"/>
    </row>
    <row r="144">
      <c r="A144" s="8" t="inlineStr">
        <is>
          <t>CILP_0143</t>
        </is>
      </c>
      <c r="B144" s="8" t="inlineStr">
        <is>
          <t>Juvenile Myoclonic Epilepsy</t>
        </is>
      </c>
      <c r="C144" s="8" t="inlineStr">
        <is>
          <t>EJM6</t>
        </is>
      </c>
      <c r="D144" s="8" t="inlineStr">
        <is>
          <t>607682</t>
        </is>
      </c>
      <c r="E144" s="8" t="inlineStr">
        <is>
          <t>OMIM:607682</t>
        </is>
      </c>
      <c r="F144" s="8" t="inlineStr">
        <is>
          <t>OMIM phenotype entry</t>
        </is>
      </c>
      <c r="G144" s="8" t="inlineStr">
        <is>
          <t>Motile</t>
        </is>
      </c>
      <c r="H144" s="8" t="inlineStr">
        <is>
          <t>Atypical / secondary ciliopathy</t>
        </is>
      </c>
      <c r="I144" s="8" t="inlineStr">
        <is>
          <t>CACNB4</t>
        </is>
      </c>
      <c r="J144" s="8" t="inlineStr">
        <is>
          <t>AD</t>
        </is>
      </c>
      <c r="K144" s="8" t="inlineStr">
        <is>
          <t>Eyes; Ears; Nervous system</t>
        </is>
      </c>
      <c r="L144" s="8" t="n">
        <v>18</v>
      </c>
      <c r="M144" s="8" t="inlineStr">
        <is>
          <t>HP:0002069; HP:0002078; HP:0002373; HP:0002131; HP:0002121; HP:0001260; HP:0010818; HP:0002172; HP:0010532; HP:0002392; HP:0011147; HP:0010850; HP:0007193; HP:0007270; HP:0000639; HP:0007000; HP:0001249; HP:0001336</t>
        </is>
      </c>
      <c r="N144" s="8" t="inlineStr">
        <is>
          <t>Yes</t>
        </is>
      </c>
      <c r="O144" s="8" t="n"/>
      <c r="P144" s="8" t="n"/>
    </row>
    <row r="145">
      <c r="A145" s="8" t="inlineStr">
        <is>
          <t>CILP_0144</t>
        </is>
      </c>
      <c r="B145" s="8" t="inlineStr">
        <is>
          <t>Juvenile Myoclonic Epilepsy</t>
        </is>
      </c>
      <c r="C145" s="8" t="inlineStr">
        <is>
          <t>EJM5</t>
        </is>
      </c>
      <c r="D145" s="8" t="inlineStr">
        <is>
          <t>611136</t>
        </is>
      </c>
      <c r="E145" s="8" t="inlineStr">
        <is>
          <t>ORPHA:307</t>
        </is>
      </c>
      <c r="F145" s="8" t="inlineStr">
        <is>
          <t>Orphanet entry (matched by disease name)</t>
        </is>
      </c>
      <c r="G145" s="8" t="inlineStr">
        <is>
          <t>Motile</t>
        </is>
      </c>
      <c r="H145" s="8" t="inlineStr">
        <is>
          <t>Atypical / secondary ciliopathy</t>
        </is>
      </c>
      <c r="I145" s="8" t="inlineStr">
        <is>
          <t>GABRA1</t>
        </is>
      </c>
      <c r="J145" s="8" t="inlineStr">
        <is>
          <t>Needs curation</t>
        </is>
      </c>
      <c r="K145" s="8" t="inlineStr">
        <is>
          <t>Eyes; Head and neck; Nervous system</t>
        </is>
      </c>
      <c r="L145" s="8" t="n">
        <v>10</v>
      </c>
      <c r="M145" s="8" t="inlineStr">
        <is>
          <t>HP:0002197; HP:0002392; HP:0007000; HP:0000153; HP:0000496; HP:0002121; HP:0002373; HP:0007207; HP:0000718; HP:0002133</t>
        </is>
      </c>
      <c r="N145" s="8" t="inlineStr">
        <is>
          <t>Yes</t>
        </is>
      </c>
      <c r="O145" s="8" t="n"/>
      <c r="P145" s="8" t="n"/>
    </row>
    <row r="146">
      <c r="A146" s="8" t="inlineStr">
        <is>
          <t>CILP_0145</t>
        </is>
      </c>
      <c r="B146" s="8" t="inlineStr">
        <is>
          <t>Juvenile Myoclonic Epilepsy</t>
        </is>
      </c>
      <c r="C146" s="8" t="inlineStr">
        <is>
          <t>EJM7</t>
        </is>
      </c>
      <c r="D146" s="8" t="inlineStr">
        <is>
          <t>613060</t>
        </is>
      </c>
      <c r="E146" s="8" t="inlineStr">
        <is>
          <t>OMIM:613060</t>
        </is>
      </c>
      <c r="F146" s="8" t="inlineStr">
        <is>
          <t>OMIM phenotype entry</t>
        </is>
      </c>
      <c r="G146" s="8" t="inlineStr">
        <is>
          <t>Motile</t>
        </is>
      </c>
      <c r="H146" s="8" t="inlineStr">
        <is>
          <t>Atypical / secondary ciliopathy</t>
        </is>
      </c>
      <c r="I146" s="8" t="inlineStr">
        <is>
          <t>GABRD</t>
        </is>
      </c>
      <c r="J146" s="8" t="inlineStr">
        <is>
          <t>AD</t>
        </is>
      </c>
      <c r="K146" s="8" t="inlineStr">
        <is>
          <t>Nervous system</t>
        </is>
      </c>
      <c r="L146" s="8" t="n">
        <v>5</v>
      </c>
      <c r="M146" s="8" t="inlineStr">
        <is>
          <t>HP:0002069; HP:0002123; HP:0002373; HP:0002121; HP:0007359</t>
        </is>
      </c>
      <c r="N146" s="8" t="inlineStr">
        <is>
          <t>Yes</t>
        </is>
      </c>
      <c r="O146" s="8" t="n"/>
      <c r="P146" s="8" t="n"/>
    </row>
    <row r="147">
      <c r="A147" s="8" t="inlineStr">
        <is>
          <t>CILP_0146</t>
        </is>
      </c>
      <c r="B147" s="8" t="inlineStr">
        <is>
          <t>Juvenile Myoclonic Epilepsy</t>
        </is>
      </c>
      <c r="C147" s="8" t="inlineStr">
        <is>
          <t>EJM10</t>
        </is>
      </c>
      <c r="D147" s="8" t="inlineStr">
        <is>
          <t>617924</t>
        </is>
      </c>
      <c r="E147" s="8" t="inlineStr">
        <is>
          <t>OMIM:617924</t>
        </is>
      </c>
      <c r="F147" s="8" t="inlineStr">
        <is>
          <t>OMIM phenotype entry</t>
        </is>
      </c>
      <c r="G147" s="8" t="inlineStr">
        <is>
          <t>Motile</t>
        </is>
      </c>
      <c r="H147" s="8" t="inlineStr">
        <is>
          <t>Atypical / secondary ciliopathy</t>
        </is>
      </c>
      <c r="I147" s="8" t="inlineStr">
        <is>
          <t>ICK</t>
        </is>
      </c>
      <c r="J147" s="8" t="inlineStr">
        <is>
          <t>INCOMPLETE_PENETRANCE; AD</t>
        </is>
      </c>
      <c r="K147" s="8" t="inlineStr">
        <is>
          <t>Nervous system</t>
        </is>
      </c>
      <c r="L147" s="8" t="n">
        <v>4</v>
      </c>
      <c r="M147" s="8" t="inlineStr">
        <is>
          <t>HP:0002069; HP:0002123; HP:0002373; HP:0002121</t>
        </is>
      </c>
      <c r="N147" s="8" t="inlineStr">
        <is>
          <t>Yes</t>
        </is>
      </c>
      <c r="O147" s="8" t="n"/>
      <c r="P147" s="8" t="n"/>
    </row>
    <row r="148">
      <c r="A148" s="8" t="inlineStr">
        <is>
          <t>CILP_0147</t>
        </is>
      </c>
      <c r="B148" s="8" t="inlineStr">
        <is>
          <t>Kallmann syndrome</t>
        </is>
      </c>
      <c r="C148" s="8" t="inlineStr">
        <is>
          <t>KLM</t>
        </is>
      </c>
      <c r="D148" s="8" t="inlineStr">
        <is>
          <t>308750</t>
        </is>
      </c>
      <c r="E148" s="8" t="inlineStr">
        <is>
          <t>OMIM:308750</t>
        </is>
      </c>
      <c r="F148" s="8" t="inlineStr">
        <is>
          <t>OMIM phenotype entry</t>
        </is>
      </c>
      <c r="G148" s="8" t="inlineStr">
        <is>
          <t>Primary</t>
        </is>
      </c>
      <c r="H148" s="8" t="inlineStr">
        <is>
          <t>Endocrine / developmental ciliopathy</t>
        </is>
      </c>
      <c r="I148" s="8" t="inlineStr">
        <is>
          <t>WDR11</t>
        </is>
      </c>
      <c r="J148" s="8" t="inlineStr">
        <is>
          <t>XL</t>
        </is>
      </c>
      <c r="K148" s="8" t="inlineStr">
        <is>
          <t>Endocrine; Growth; Genitourinary; Head and neck; Limbs; Nervous system; Skeletal; Skin</t>
        </is>
      </c>
      <c r="L148" s="8" t="n">
        <v>19</v>
      </c>
      <c r="M148" s="8" t="inlineStr">
        <is>
          <t>HP:0000044; HP:0000054; HP:0001341; HP:0000771; HP:0001761; HP:0000122; HP:0030344; HP:0003782; HP:0001251; HP:0003164; HP:0030341; HP:0002929; HP:0000458; HP:0000029; HP:0000218; HP:0001335; HP:0001258; HP:0000028; HP:0002225</t>
        </is>
      </c>
      <c r="N148" s="8" t="inlineStr">
        <is>
          <t>No</t>
        </is>
      </c>
      <c r="O148" s="8" t="inlineStr">
        <is>
          <t>Disease family with fewer than 5 entries</t>
        </is>
      </c>
      <c r="P148" s="8" t="n"/>
    </row>
    <row r="149">
      <c r="A149" s="8" t="inlineStr">
        <is>
          <t>CILP_0148</t>
        </is>
      </c>
      <c r="B149" s="8" t="inlineStr">
        <is>
          <t>Laurence–Moon Syndrome</t>
        </is>
      </c>
      <c r="C149" s="8" t="inlineStr">
        <is>
          <t>LNMS</t>
        </is>
      </c>
      <c r="D149" s="8" t="inlineStr">
        <is>
          <t>245800</t>
        </is>
      </c>
      <c r="E149" s="8" t="inlineStr">
        <is>
          <t>OMIM:245800</t>
        </is>
      </c>
      <c r="F149" s="8" t="inlineStr">
        <is>
          <t>OMIM phenotype entry</t>
        </is>
      </c>
      <c r="G149" s="8" t="inlineStr">
        <is>
          <t>Secondary</t>
        </is>
      </c>
      <c r="H149" s="8" t="inlineStr">
        <is>
          <t>Multisystem ciliopathy</t>
        </is>
      </c>
      <c r="I149" s="8" t="inlineStr">
        <is>
          <t>PNPLA6</t>
        </is>
      </c>
      <c r="J149" s="8" t="inlineStr">
        <is>
          <t>AR</t>
        </is>
      </c>
      <c r="K149" s="8" t="inlineStr">
        <is>
          <t>Eyes; Growth; Genitourinary; Limbs; Nervous system; Skeletal</t>
        </is>
      </c>
      <c r="L149" s="8" t="n">
        <v>13</v>
      </c>
      <c r="M149" s="8" t="inlineStr">
        <is>
          <t>HP:0001155; HP:0000054; HP:0000046; HP:0004322; HP:0000580; HP:0001251; HP:0010442; HP:0000639; HP:0009830; HP:0001258; HP:0001249; HP:0001513; HP:0000533</t>
        </is>
      </c>
      <c r="N149" s="8" t="inlineStr">
        <is>
          <t>No</t>
        </is>
      </c>
      <c r="O149" s="8" t="inlineStr">
        <is>
          <t>Disease family with fewer than 5 entries</t>
        </is>
      </c>
      <c r="P149" s="8" t="n"/>
    </row>
    <row r="150">
      <c r="A150" s="8" t="inlineStr">
        <is>
          <t>CILP_0149</t>
        </is>
      </c>
      <c r="B150" s="8" t="inlineStr">
        <is>
          <t>Leber Congenital Amaurosis</t>
        </is>
      </c>
      <c r="C150" s="8" t="inlineStr">
        <is>
          <t>LCA1</t>
        </is>
      </c>
      <c r="D150" s="8" t="inlineStr">
        <is>
          <t>204000</t>
        </is>
      </c>
      <c r="E150" s="8" t="inlineStr">
        <is>
          <t>OMIM:204000</t>
        </is>
      </c>
      <c r="F150" s="8" t="inlineStr">
        <is>
          <t>OMIM phenotype entry</t>
        </is>
      </c>
      <c r="G150" s="8" t="inlineStr">
        <is>
          <t>Primary</t>
        </is>
      </c>
      <c r="H150" s="8" t="inlineStr">
        <is>
          <t>Retinal ciliopathy</t>
        </is>
      </c>
      <c r="I150" s="8" t="inlineStr">
        <is>
          <t>GUCY2D</t>
        </is>
      </c>
      <c r="J150" s="8" t="inlineStr">
        <is>
          <t>AR</t>
        </is>
      </c>
      <c r="K150" s="8" t="inlineStr">
        <is>
          <t>Abdomen; Eyes; Ears; Cardiovascular; Growth; Genitourinary; Nervous system; Metabolism</t>
        </is>
      </c>
      <c r="L150" s="8" t="n">
        <v>19</v>
      </c>
      <c r="M150" s="8" t="inlineStr">
        <is>
          <t>HP:0001099; HP:0000563; HP:0003354; HP:0000662; HP:0001483; HP:0000580; HP:0003296; HP:0002240; HP:0012426; HP:0000639; HP:0000518; HP:0000407; HP:0000618; HP:0000613; HP:0007663; HP:0001510; HP:0007843; HP:0001249; HP:0000654</t>
        </is>
      </c>
      <c r="N150" s="8" t="inlineStr">
        <is>
          <t>Yes</t>
        </is>
      </c>
      <c r="O150" s="8" t="n"/>
      <c r="P150" s="8" t="n"/>
    </row>
    <row r="151">
      <c r="A151" s="8" t="inlineStr">
        <is>
          <t>CILP_0150</t>
        </is>
      </c>
      <c r="B151" s="8" t="inlineStr">
        <is>
          <t>Leber Congenital Amaurosis</t>
        </is>
      </c>
      <c r="C151" s="8" t="inlineStr">
        <is>
          <t>LCA2</t>
        </is>
      </c>
      <c r="D151" s="8" t="inlineStr">
        <is>
          <t>204100</t>
        </is>
      </c>
      <c r="E151" s="8" t="inlineStr">
        <is>
          <t>OMIM:204100</t>
        </is>
      </c>
      <c r="F151" s="8" t="inlineStr">
        <is>
          <t>OMIM phenotype entry</t>
        </is>
      </c>
      <c r="G151" s="8" t="inlineStr">
        <is>
          <t>Primary</t>
        </is>
      </c>
      <c r="H151" s="8" t="inlineStr">
        <is>
          <t>Retinal ciliopathy</t>
        </is>
      </c>
      <c r="I151" s="8" t="inlineStr">
        <is>
          <t>RPE65</t>
        </is>
      </c>
      <c r="J151" s="8" t="inlineStr">
        <is>
          <t>AR</t>
        </is>
      </c>
      <c r="K151" s="8" t="inlineStr">
        <is>
          <t>Eyes; Cardiovascular; Nervous system</t>
        </is>
      </c>
      <c r="L151" s="8" t="n">
        <v>16</v>
      </c>
      <c r="M151" s="8" t="inlineStr">
        <is>
          <t>HP:0001320; HP:0001099; HP:0000563; HP:0000662; HP:0001483; HP:0000580; HP:0030825; HP:0000518; HP:0000639; HP:0000618; HP:0000613; HP:0007663; HP:0000543; HP:0007688; HP:0007843; HP:0001249</t>
        </is>
      </c>
      <c r="N151" s="8" t="inlineStr">
        <is>
          <t>Yes</t>
        </is>
      </c>
      <c r="O151" s="8" t="n"/>
      <c r="P151" s="8" t="n"/>
    </row>
    <row r="152">
      <c r="A152" s="8" t="inlineStr">
        <is>
          <t>CILP_0151</t>
        </is>
      </c>
      <c r="B152" s="8" t="inlineStr">
        <is>
          <t>Leber Congenital Amaurosis</t>
        </is>
      </c>
      <c r="C152" s="8" t="inlineStr">
        <is>
          <t>LCA3</t>
        </is>
      </c>
      <c r="D152" s="8" t="inlineStr">
        <is>
          <t>604232</t>
        </is>
      </c>
      <c r="E152" s="8" t="inlineStr">
        <is>
          <t>OMIM:604232</t>
        </is>
      </c>
      <c r="F152" s="8" t="inlineStr">
        <is>
          <t>OMIM phenotype entry</t>
        </is>
      </c>
      <c r="G152" s="8" t="inlineStr">
        <is>
          <t>Primary</t>
        </is>
      </c>
      <c r="H152" s="8" t="inlineStr">
        <is>
          <t>Retinal ciliopathy</t>
        </is>
      </c>
      <c r="I152" s="8" t="inlineStr">
        <is>
          <t>SPATA7</t>
        </is>
      </c>
      <c r="J152" s="8" t="inlineStr">
        <is>
          <t>AR</t>
        </is>
      </c>
      <c r="K152" s="8" t="inlineStr">
        <is>
          <t>Eyes</t>
        </is>
      </c>
      <c r="L152" s="8" t="n">
        <v>4</v>
      </c>
      <c r="M152" s="8" t="inlineStr">
        <is>
          <t>HP:0000572; HP:0001133; HP:0000662; HP:0000639</t>
        </is>
      </c>
      <c r="N152" s="8" t="inlineStr">
        <is>
          <t>Yes</t>
        </is>
      </c>
      <c r="O152" s="8" t="n"/>
      <c r="P152" s="8" t="n"/>
    </row>
    <row r="153">
      <c r="A153" s="8" t="inlineStr">
        <is>
          <t>CILP_0152</t>
        </is>
      </c>
      <c r="B153" s="8" t="inlineStr">
        <is>
          <t>Leber Congenital Amaurosis</t>
        </is>
      </c>
      <c r="C153" s="8" t="inlineStr">
        <is>
          <t>LCA4</t>
        </is>
      </c>
      <c r="D153" s="8" t="inlineStr">
        <is>
          <t>604393</t>
        </is>
      </c>
      <c r="E153" s="8" t="inlineStr">
        <is>
          <t>OMIM:604393</t>
        </is>
      </c>
      <c r="F153" s="8" t="inlineStr">
        <is>
          <t>OMIM phenotype entry</t>
        </is>
      </c>
      <c r="G153" s="8" t="inlineStr">
        <is>
          <t>Primary</t>
        </is>
      </c>
      <c r="H153" s="8" t="inlineStr">
        <is>
          <t>Retinal ciliopathy</t>
        </is>
      </c>
      <c r="I153" s="8" t="inlineStr">
        <is>
          <t>AIPL1</t>
        </is>
      </c>
      <c r="J153" s="8" t="inlineStr">
        <is>
          <t>AR; AD</t>
        </is>
      </c>
      <c r="K153" s="8" t="inlineStr">
        <is>
          <t>Eyes; Cardiovascular</t>
        </is>
      </c>
      <c r="L153" s="8" t="n">
        <v>10</v>
      </c>
      <c r="M153" s="8" t="inlineStr">
        <is>
          <t>HP:0000563; HP:0000662; HP:0012043; HP:0000618; HP:0007663; HP:0007401; HP:0000548; HP:0000543; HP:0007688; HP:0007843</t>
        </is>
      </c>
      <c r="N153" s="8" t="inlineStr">
        <is>
          <t>Yes</t>
        </is>
      </c>
      <c r="O153" s="8" t="n"/>
      <c r="P153" s="8" t="n"/>
    </row>
    <row r="154">
      <c r="A154" s="8" t="inlineStr">
        <is>
          <t>CILP_0153</t>
        </is>
      </c>
      <c r="B154" s="8" t="inlineStr">
        <is>
          <t>Leber Congenital Amaurosis</t>
        </is>
      </c>
      <c r="C154" s="8" t="inlineStr">
        <is>
          <t>LCA5</t>
        </is>
      </c>
      <c r="D154" s="8" t="inlineStr">
        <is>
          <t>604537</t>
        </is>
      </c>
      <c r="E154" s="8" t="inlineStr">
        <is>
          <t>OMIM:604537</t>
        </is>
      </c>
      <c r="F154" s="8" t="inlineStr">
        <is>
          <t>OMIM phenotype entry</t>
        </is>
      </c>
      <c r="G154" s="8" t="inlineStr">
        <is>
          <t>Primary</t>
        </is>
      </c>
      <c r="H154" s="8" t="inlineStr">
        <is>
          <t>Retinal ciliopathy</t>
        </is>
      </c>
      <c r="I154" s="8" t="inlineStr">
        <is>
          <t>LCA5</t>
        </is>
      </c>
      <c r="J154" s="8" t="inlineStr">
        <is>
          <t>AR</t>
        </is>
      </c>
      <c r="K154" s="8" t="inlineStr">
        <is>
          <t>Eyes</t>
        </is>
      </c>
      <c r="L154" s="8" t="n">
        <v>6</v>
      </c>
      <c r="M154" s="8" t="inlineStr">
        <is>
          <t>HP:0000550; HP:0000572; HP:0000540; HP:0000639; HP:0008499; HP:0000505</t>
        </is>
      </c>
      <c r="N154" s="8" t="inlineStr">
        <is>
          <t>Yes</t>
        </is>
      </c>
      <c r="O154" s="8" t="n"/>
      <c r="P154" s="8" t="n"/>
    </row>
    <row r="155">
      <c r="A155" s="8" t="inlineStr">
        <is>
          <t>CILP_0154</t>
        </is>
      </c>
      <c r="B155" s="8" t="inlineStr">
        <is>
          <t>Leber Congenital Amaurosis</t>
        </is>
      </c>
      <c r="C155" s="8" t="inlineStr">
        <is>
          <t>LCA18</t>
        </is>
      </c>
      <c r="D155" s="8" t="inlineStr">
        <is>
          <t>608133</t>
        </is>
      </c>
      <c r="E155" s="8" t="inlineStr">
        <is>
          <t>OMIM:608133</t>
        </is>
      </c>
      <c r="F155" s="8" t="inlineStr">
        <is>
          <t>OMIM phenotype entry</t>
        </is>
      </c>
      <c r="G155" s="8" t="inlineStr">
        <is>
          <t>Primary</t>
        </is>
      </c>
      <c r="H155" s="8" t="inlineStr">
        <is>
          <t>Retinal ciliopathy</t>
        </is>
      </c>
      <c r="I155" s="8" t="inlineStr">
        <is>
          <t>PRPH2</t>
        </is>
      </c>
      <c r="J155" s="8" t="inlineStr">
        <is>
          <t>AR; AD</t>
        </is>
      </c>
      <c r="K155" s="8" t="inlineStr">
        <is>
          <t>Eyes; Cardiovascular</t>
        </is>
      </c>
      <c r="L155" s="8" t="n">
        <v>8</v>
      </c>
      <c r="M155" s="8" t="inlineStr">
        <is>
          <t>HP:0001133; HP:0000662; HP:0000580; HP:0007830; HP:0000510; HP:0007843; HP:0000512; HP:0000533</t>
        </is>
      </c>
      <c r="N155" s="8" t="inlineStr">
        <is>
          <t>Yes</t>
        </is>
      </c>
      <c r="O155" s="8" t="n"/>
      <c r="P155" s="8" t="inlineStr">
        <is>
          <t>Same OMIM entry also curated under Retinitis Pigmentosa (CILP_0284)</t>
        </is>
      </c>
    </row>
    <row r="156">
      <c r="A156" s="8" t="inlineStr">
        <is>
          <t>CILP_0155</t>
        </is>
      </c>
      <c r="B156" s="8" t="inlineStr">
        <is>
          <t>Leber Congenital Amaurosis</t>
        </is>
      </c>
      <c r="C156" s="8" t="inlineStr">
        <is>
          <t>LCA9</t>
        </is>
      </c>
      <c r="D156" s="8" t="inlineStr">
        <is>
          <t>608553</t>
        </is>
      </c>
      <c r="E156" s="8" t="inlineStr">
        <is>
          <t>OMIM:608553</t>
        </is>
      </c>
      <c r="F156" s="8" t="inlineStr">
        <is>
          <t>OMIM phenotype entry</t>
        </is>
      </c>
      <c r="G156" s="8" t="inlineStr">
        <is>
          <t>Primary</t>
        </is>
      </c>
      <c r="H156" s="8" t="inlineStr">
        <is>
          <t>Retinal ciliopathy</t>
        </is>
      </c>
      <c r="I156" s="8" t="inlineStr">
        <is>
          <t>NMNAT1</t>
        </is>
      </c>
      <c r="J156" s="8" t="inlineStr">
        <is>
          <t>AR</t>
        </is>
      </c>
      <c r="K156" s="8" t="inlineStr">
        <is>
          <t>Eyes; Cardiovascular; Nervous system; Skeletal</t>
        </is>
      </c>
      <c r="L156" s="8" t="n">
        <v>22</v>
      </c>
      <c r="M156" s="8" t="inlineStr">
        <is>
          <t>HP:0007737; HP:0007814; HP:0000662; HP:0000563; HP:0000540; HP:0000639; HP:0032286; HP:0000613; HP:0007663; HP:0007401; HP:0007843; HP:0007988; HP:0000550; HP:0000551; HP:0001483; HP:0032123; HP:0032027; HP:0000648; HP:0200056; HP:0000543; HP:0000666; HP:0001116</t>
        </is>
      </c>
      <c r="N156" s="8" t="inlineStr">
        <is>
          <t>Yes</t>
        </is>
      </c>
      <c r="O156" s="8" t="n"/>
      <c r="P156" s="8" t="n"/>
    </row>
    <row r="157">
      <c r="A157" s="8" t="inlineStr">
        <is>
          <t>CILP_0156</t>
        </is>
      </c>
      <c r="B157" s="8" t="inlineStr">
        <is>
          <t>Leber Congenital Amaurosis</t>
        </is>
      </c>
      <c r="C157" s="8" t="inlineStr">
        <is>
          <t>LCA12</t>
        </is>
      </c>
      <c r="D157" s="8" t="inlineStr">
        <is>
          <t>610612</t>
        </is>
      </c>
      <c r="E157" s="8" t="inlineStr">
        <is>
          <t>OMIM:610612</t>
        </is>
      </c>
      <c r="F157" s="8" t="inlineStr">
        <is>
          <t>OMIM phenotype entry</t>
        </is>
      </c>
      <c r="G157" s="8" t="inlineStr">
        <is>
          <t>Primary</t>
        </is>
      </c>
      <c r="H157" s="8" t="inlineStr">
        <is>
          <t>Retinal ciliopathy</t>
        </is>
      </c>
      <c r="I157" s="8" t="inlineStr">
        <is>
          <t>RD3</t>
        </is>
      </c>
      <c r="J157" s="8" t="inlineStr">
        <is>
          <t>AR</t>
        </is>
      </c>
      <c r="K157" s="8" t="inlineStr">
        <is>
          <t>Eyes</t>
        </is>
      </c>
      <c r="L157" s="8" t="n">
        <v>3</v>
      </c>
      <c r="M157" s="8" t="inlineStr">
        <is>
          <t>HP:0000639; HP:0008002; HP:0007875</t>
        </is>
      </c>
      <c r="N157" s="8" t="inlineStr">
        <is>
          <t>Yes</t>
        </is>
      </c>
      <c r="O157" s="8" t="n"/>
      <c r="P157" s="8" t="n"/>
    </row>
    <row r="158">
      <c r="A158" s="8" t="inlineStr">
        <is>
          <t>CILP_0157</t>
        </is>
      </c>
      <c r="B158" s="8" t="inlineStr">
        <is>
          <t>Leber Congenital Amaurosis</t>
        </is>
      </c>
      <c r="C158" s="8" t="inlineStr">
        <is>
          <t>LCA10</t>
        </is>
      </c>
      <c r="D158" s="8" t="inlineStr">
        <is>
          <t>611755</t>
        </is>
      </c>
      <c r="E158" s="8" t="inlineStr">
        <is>
          <t>OMIM:611755</t>
        </is>
      </c>
      <c r="F158" s="8" t="inlineStr">
        <is>
          <t>OMIM phenotype entry</t>
        </is>
      </c>
      <c r="G158" s="8" t="inlineStr">
        <is>
          <t>Primary</t>
        </is>
      </c>
      <c r="H158" s="8" t="inlineStr">
        <is>
          <t>Retinal ciliopathy</t>
        </is>
      </c>
      <c r="I158" s="8" t="inlineStr">
        <is>
          <t>CEP290</t>
        </is>
      </c>
      <c r="J158" s="8" t="inlineStr">
        <is>
          <t>AR</t>
        </is>
      </c>
      <c r="K158" s="8" t="inlineStr">
        <is>
          <t>Eyes; Head and neck; Nervous system</t>
        </is>
      </c>
      <c r="L158" s="8" t="n">
        <v>3</v>
      </c>
      <c r="M158" s="8" t="inlineStr">
        <is>
          <t>HP:0001250; HP:0004409; HP:0000505</t>
        </is>
      </c>
      <c r="N158" s="8" t="inlineStr">
        <is>
          <t>Yes</t>
        </is>
      </c>
      <c r="O158" s="8" t="n"/>
      <c r="P158" s="8" t="n"/>
    </row>
    <row r="159">
      <c r="A159" s="8" t="inlineStr">
        <is>
          <t>CILP_0158</t>
        </is>
      </c>
      <c r="B159" s="8" t="inlineStr">
        <is>
          <t>Leber Congenital Amaurosis</t>
        </is>
      </c>
      <c r="C159" s="8" t="inlineStr">
        <is>
          <t>LCA13</t>
        </is>
      </c>
      <c r="D159" s="8" t="inlineStr">
        <is>
          <t>612712</t>
        </is>
      </c>
      <c r="E159" s="8" t="inlineStr">
        <is>
          <t>OMIM:612712</t>
        </is>
      </c>
      <c r="F159" s="8" t="inlineStr">
        <is>
          <t>OMIM phenotype entry</t>
        </is>
      </c>
      <c r="G159" s="8" t="inlineStr">
        <is>
          <t>Primary</t>
        </is>
      </c>
      <c r="H159" s="8" t="inlineStr">
        <is>
          <t>Retinal ciliopathy</t>
        </is>
      </c>
      <c r="I159" s="8" t="inlineStr">
        <is>
          <t>RDH12</t>
        </is>
      </c>
      <c r="J159" s="8" t="inlineStr">
        <is>
          <t>AR; AD</t>
        </is>
      </c>
      <c r="K159" s="8" t="inlineStr">
        <is>
          <t>Eyes; Cardiovascular</t>
        </is>
      </c>
      <c r="L159" s="8" t="n">
        <v>5</v>
      </c>
      <c r="M159" s="8" t="inlineStr">
        <is>
          <t>HP:0007737; HP:0007663; HP:0000543; HP:0007843; HP:0000556</t>
        </is>
      </c>
      <c r="N159" s="8" t="inlineStr">
        <is>
          <t>Yes</t>
        </is>
      </c>
      <c r="O159" s="8" t="n"/>
      <c r="P159" s="8" t="inlineStr">
        <is>
          <t>Same OMIM entry also curated under Retinitis Pigmentosa (CILP_0294)</t>
        </is>
      </c>
    </row>
    <row r="160">
      <c r="A160" s="8" t="inlineStr">
        <is>
          <t>CILP_0159</t>
        </is>
      </c>
      <c r="B160" s="8" t="inlineStr">
        <is>
          <t>Leber Congenital Amaurosis</t>
        </is>
      </c>
      <c r="C160" s="8" t="inlineStr">
        <is>
          <t>LCA14</t>
        </is>
      </c>
      <c r="D160" s="8" t="inlineStr">
        <is>
          <t>613341</t>
        </is>
      </c>
      <c r="E160" s="8" t="inlineStr">
        <is>
          <t>OMIM:613341</t>
        </is>
      </c>
      <c r="F160" s="8" t="inlineStr">
        <is>
          <t>OMIM phenotype entry</t>
        </is>
      </c>
      <c r="G160" s="8" t="inlineStr">
        <is>
          <t>Primary</t>
        </is>
      </c>
      <c r="H160" s="8" t="inlineStr">
        <is>
          <t>Retinal ciliopathy</t>
        </is>
      </c>
      <c r="I160" s="8" t="inlineStr">
        <is>
          <t>LRAT</t>
        </is>
      </c>
      <c r="J160" s="8" t="inlineStr">
        <is>
          <t>AR</t>
        </is>
      </c>
      <c r="K160" s="8" t="inlineStr">
        <is>
          <t>Eyes; Nervous system; Skin</t>
        </is>
      </c>
      <c r="L160" s="8" t="n">
        <v>12</v>
      </c>
      <c r="M160" s="8" t="inlineStr">
        <is>
          <t>HP:0000550; HP:0000662; HP:0000980; HP:0000639; HP:0000613; HP:0007663; HP:0002527; HP:0000510; HP:0007875; HP:0000543; HP:0000556; HP:0000654</t>
        </is>
      </c>
      <c r="N160" s="8" t="inlineStr">
        <is>
          <t>Yes</t>
        </is>
      </c>
      <c r="O160" s="8" t="n"/>
      <c r="P160" s="8" t="n"/>
    </row>
    <row r="161">
      <c r="A161" s="8" t="inlineStr">
        <is>
          <t>CILP_0160</t>
        </is>
      </c>
      <c r="B161" s="8" t="inlineStr">
        <is>
          <t>Leber Congenital Amaurosis</t>
        </is>
      </c>
      <c r="C161" s="8" t="inlineStr">
        <is>
          <t>LCA6</t>
        </is>
      </c>
      <c r="D161" s="8" t="inlineStr">
        <is>
          <t>613826</t>
        </is>
      </c>
      <c r="E161" s="8" t="inlineStr">
        <is>
          <t>OMIM:613826</t>
        </is>
      </c>
      <c r="F161" s="8" t="inlineStr">
        <is>
          <t>OMIM phenotype entry</t>
        </is>
      </c>
      <c r="G161" s="8" t="inlineStr">
        <is>
          <t>Primary</t>
        </is>
      </c>
      <c r="H161" s="8" t="inlineStr">
        <is>
          <t>Retinal ciliopathy</t>
        </is>
      </c>
      <c r="I161" s="8" t="inlineStr">
        <is>
          <t>RPGRIP1</t>
        </is>
      </c>
      <c r="J161" s="8" t="inlineStr">
        <is>
          <t>AR</t>
        </is>
      </c>
      <c r="K161" s="8" t="inlineStr">
        <is>
          <t>Eyes; Cardiovascular; Head and neck; Nervous system</t>
        </is>
      </c>
      <c r="L161" s="8" t="n">
        <v>43</v>
      </c>
      <c r="M161" s="8" t="inlineStr">
        <is>
          <t>HP:0001133; HP:0000563; HP:0000486; HP:0030211; HP:0000518; HP:0000639; HP:0032122; HP:0008499; HP:0007720; HP:0007401; HP:0007843; HP:0000512; HP:0001249; HP:0025010; HP:0001263; HP:0001141; HP:0030825; HP:0200070; HP:0008043; HP:0000648; HP:0004327; HP:0007737; HP:0007814; HP:0000662; HP:0000540; HP:0030553; HP:0030672; HP:0030515; HP:0000613; HP:0007663; HP:0007787; HP:0000533; HP:0000577; HP:0000550; HP:0000551; HP:0001483; HP:0011504; HP:0030329; HP:0012045; HP:0012043; HP:0000546; HP:0000543; HP:0000545</t>
        </is>
      </c>
      <c r="N161" s="8" t="inlineStr">
        <is>
          <t>Yes</t>
        </is>
      </c>
      <c r="O161" s="8" t="n"/>
      <c r="P161" s="8" t="n"/>
    </row>
    <row r="162">
      <c r="A162" s="8" t="inlineStr">
        <is>
          <t>CILP_0161</t>
        </is>
      </c>
      <c r="B162" s="8" t="inlineStr">
        <is>
          <t>Leber Congenital Amaurosis</t>
        </is>
      </c>
      <c r="C162" s="8" t="inlineStr">
        <is>
          <t>LCA7</t>
        </is>
      </c>
      <c r="D162" s="8" t="inlineStr">
        <is>
          <t>613829</t>
        </is>
      </c>
      <c r="E162" s="8" t="inlineStr">
        <is>
          <t>OMIM:613829</t>
        </is>
      </c>
      <c r="F162" s="8" t="inlineStr">
        <is>
          <t>OMIM phenotype entry</t>
        </is>
      </c>
      <c r="G162" s="8" t="inlineStr">
        <is>
          <t>Primary</t>
        </is>
      </c>
      <c r="H162" s="8" t="inlineStr">
        <is>
          <t>Retinal ciliopathy</t>
        </is>
      </c>
      <c r="I162" s="8" t="inlineStr">
        <is>
          <t>CRX</t>
        </is>
      </c>
      <c r="J162" s="8" t="inlineStr">
        <is>
          <t>AR</t>
        </is>
      </c>
      <c r="K162" s="8" t="inlineStr">
        <is>
          <t>Eyes; Nervous system</t>
        </is>
      </c>
      <c r="L162" s="8" t="n">
        <v>7</v>
      </c>
      <c r="M162" s="8" t="inlineStr">
        <is>
          <t>HP:0000550; HP:0000563; HP:0000518; HP:0000639; HP:0012043; HP:0000613; HP:0000505</t>
        </is>
      </c>
      <c r="N162" s="8" t="inlineStr">
        <is>
          <t>Yes</t>
        </is>
      </c>
      <c r="O162" s="8" t="n"/>
      <c r="P162" s="8" t="n"/>
    </row>
    <row r="163">
      <c r="A163" s="8" t="inlineStr">
        <is>
          <t>CILP_0162</t>
        </is>
      </c>
      <c r="B163" s="8" t="inlineStr">
        <is>
          <t>Leber Congenital Amaurosis</t>
        </is>
      </c>
      <c r="C163" s="8" t="inlineStr">
        <is>
          <t>LCA8</t>
        </is>
      </c>
      <c r="D163" s="8" t="inlineStr">
        <is>
          <t>613835</t>
        </is>
      </c>
      <c r="E163" s="8" t="inlineStr">
        <is>
          <t>OMIM:613835</t>
        </is>
      </c>
      <c r="F163" s="8" t="inlineStr">
        <is>
          <t>OMIM phenotype entry</t>
        </is>
      </c>
      <c r="G163" s="8" t="inlineStr">
        <is>
          <t>Primary</t>
        </is>
      </c>
      <c r="H163" s="8" t="inlineStr">
        <is>
          <t>Retinal ciliopathy</t>
        </is>
      </c>
      <c r="I163" s="8" t="inlineStr">
        <is>
          <t>CRB1</t>
        </is>
      </c>
      <c r="J163" s="8" t="inlineStr">
        <is>
          <t>AR</t>
        </is>
      </c>
      <c r="K163" s="8" t="inlineStr">
        <is>
          <t>Eyes; Nervous system</t>
        </is>
      </c>
      <c r="L163" s="8" t="n">
        <v>13</v>
      </c>
      <c r="M163" s="8" t="inlineStr">
        <is>
          <t>HP:0000550; HP:0000563; HP:0000490; HP:0001483; HP:0000580; HP:0030505; HP:0000518; HP:0000639; HP:0008499; HP:0007663; HP:0030491; HP:0001116; HP:0000533</t>
        </is>
      </c>
      <c r="N163" s="8" t="inlineStr">
        <is>
          <t>Yes</t>
        </is>
      </c>
      <c r="O163" s="8" t="n"/>
      <c r="P163" s="8" t="n"/>
    </row>
    <row r="164">
      <c r="A164" s="8" t="inlineStr">
        <is>
          <t>CILP_0163</t>
        </is>
      </c>
      <c r="B164" s="8" t="inlineStr">
        <is>
          <t>Leber Congenital Amaurosis</t>
        </is>
      </c>
      <c r="C164" s="8" t="inlineStr">
        <is>
          <t>LCA11</t>
        </is>
      </c>
      <c r="D164" s="8" t="inlineStr">
        <is>
          <t>613837</t>
        </is>
      </c>
      <c r="E164" s="8" t="inlineStr">
        <is>
          <t>OMIM:613837</t>
        </is>
      </c>
      <c r="F164" s="8" t="inlineStr">
        <is>
          <t>OMIM phenotype entry</t>
        </is>
      </c>
      <c r="G164" s="8" t="inlineStr">
        <is>
          <t>Primary</t>
        </is>
      </c>
      <c r="H164" s="8" t="inlineStr">
        <is>
          <t>Retinal ciliopathy</t>
        </is>
      </c>
      <c r="I164" s="8" t="inlineStr">
        <is>
          <t>IMPDH1</t>
        </is>
      </c>
      <c r="J164" s="8" t="inlineStr">
        <is>
          <t>AD</t>
        </is>
      </c>
      <c r="K164" s="8" t="inlineStr">
        <is>
          <t>Eyes</t>
        </is>
      </c>
      <c r="L164" s="8" t="n">
        <v>3</v>
      </c>
      <c r="M164" s="8" t="inlineStr">
        <is>
          <t>HP:0000639; HP:0007663; HP:0000505</t>
        </is>
      </c>
      <c r="N164" s="8" t="inlineStr">
        <is>
          <t>Yes</t>
        </is>
      </c>
      <c r="O164" s="8" t="n"/>
      <c r="P164" s="8" t="n"/>
    </row>
    <row r="165">
      <c r="A165" s="8" t="inlineStr">
        <is>
          <t>CILP_0164</t>
        </is>
      </c>
      <c r="B165" s="8" t="inlineStr">
        <is>
          <t>Leber Congenital Amaurosis</t>
        </is>
      </c>
      <c r="C165" s="8" t="inlineStr">
        <is>
          <t>LCA15</t>
        </is>
      </c>
      <c r="D165" s="8" t="inlineStr">
        <is>
          <t>613843</t>
        </is>
      </c>
      <c r="E165" s="8" t="inlineStr">
        <is>
          <t>OMIM:613843</t>
        </is>
      </c>
      <c r="F165" s="8" t="inlineStr">
        <is>
          <t>OMIM phenotype entry</t>
        </is>
      </c>
      <c r="G165" s="8" t="inlineStr">
        <is>
          <t>Primary</t>
        </is>
      </c>
      <c r="H165" s="8" t="inlineStr">
        <is>
          <t>Retinal ciliopathy</t>
        </is>
      </c>
      <c r="I165" s="8" t="inlineStr">
        <is>
          <t>TULP1</t>
        </is>
      </c>
      <c r="J165" s="8" t="inlineStr">
        <is>
          <t>AR</t>
        </is>
      </c>
      <c r="K165" s="8" t="inlineStr">
        <is>
          <t>Eyes; Cardiovascular; Nervous system</t>
        </is>
      </c>
      <c r="L165" s="8" t="n">
        <v>20</v>
      </c>
      <c r="M165" s="8" t="inlineStr">
        <is>
          <t>HP:0001133; HP:0000662; HP:0000540; HP:0000551; HP:0030211; HP:0001483; HP:0000580; HP:0500087; HP:0034362; HP:0012047; HP:0000639; HP:0000613; HP:0007772; HP:0000546; HP:0007663; HP:0000505; HP:0007787; HP:0000543; HP:0007843; HP:0000545</t>
        </is>
      </c>
      <c r="N165" s="8" t="inlineStr">
        <is>
          <t>Yes</t>
        </is>
      </c>
      <c r="O165" s="8" t="n"/>
      <c r="P165" s="8" t="n"/>
    </row>
    <row r="166">
      <c r="A166" s="8" t="inlineStr">
        <is>
          <t>CILP_0165</t>
        </is>
      </c>
      <c r="B166" s="8" t="inlineStr">
        <is>
          <t>Leber Congenital Amaurosis</t>
        </is>
      </c>
      <c r="C166" s="8" t="inlineStr">
        <is>
          <t>LCA16</t>
        </is>
      </c>
      <c r="D166" s="8" t="inlineStr">
        <is>
          <t>614186</t>
        </is>
      </c>
      <c r="E166" s="8" t="inlineStr">
        <is>
          <t>OMIM:614186</t>
        </is>
      </c>
      <c r="F166" s="8" t="inlineStr">
        <is>
          <t>OMIM phenotype entry</t>
        </is>
      </c>
      <c r="G166" s="8" t="inlineStr">
        <is>
          <t>Primary</t>
        </is>
      </c>
      <c r="H166" s="8" t="inlineStr">
        <is>
          <t>Retinal ciliopathy</t>
        </is>
      </c>
      <c r="I166" s="8" t="inlineStr">
        <is>
          <t>KCNJ13</t>
        </is>
      </c>
      <c r="J166" s="8" t="inlineStr">
        <is>
          <t>AR</t>
        </is>
      </c>
      <c r="K166" s="8" t="inlineStr">
        <is>
          <t>Eyes; Nervous system</t>
        </is>
      </c>
      <c r="L166" s="8" t="n">
        <v>9</v>
      </c>
      <c r="M166" s="8" t="inlineStr">
        <is>
          <t>HP:0000486; HP:0000662; HP:0001123; HP:0000639; HP:0000518; HP:0000613; HP:0007663; HP:0000505; HP:0000543</t>
        </is>
      </c>
      <c r="N166" s="8" t="inlineStr">
        <is>
          <t>Yes</t>
        </is>
      </c>
      <c r="O166" s="8" t="n"/>
      <c r="P166" s="8" t="n"/>
    </row>
    <row r="167">
      <c r="A167" s="8" t="inlineStr">
        <is>
          <t>CILP_0166</t>
        </is>
      </c>
      <c r="B167" s="8" t="inlineStr">
        <is>
          <t>Leber Congenital Amaurosis</t>
        </is>
      </c>
      <c r="C167" s="8" t="inlineStr">
        <is>
          <t>LCA17</t>
        </is>
      </c>
      <c r="D167" s="8" t="inlineStr">
        <is>
          <t>615360</t>
        </is>
      </c>
      <c r="E167" s="8" t="inlineStr">
        <is>
          <t>OMIM:615360</t>
        </is>
      </c>
      <c r="F167" s="8" t="inlineStr">
        <is>
          <t>OMIM phenotype entry</t>
        </is>
      </c>
      <c r="G167" s="8" t="inlineStr">
        <is>
          <t>Primary</t>
        </is>
      </c>
      <c r="H167" s="8" t="inlineStr">
        <is>
          <t>Retinal ciliopathy</t>
        </is>
      </c>
      <c r="I167" s="8" t="inlineStr">
        <is>
          <t>GDF6</t>
        </is>
      </c>
      <c r="J167" s="8" t="inlineStr">
        <is>
          <t>AR</t>
        </is>
      </c>
      <c r="K167" s="8" t="inlineStr">
        <is>
          <t>Eyes</t>
        </is>
      </c>
      <c r="L167" s="8" t="n">
        <v>1</v>
      </c>
      <c r="M167" s="8" t="inlineStr">
        <is>
          <t>HP:0032284</t>
        </is>
      </c>
      <c r="N167" s="8" t="inlineStr">
        <is>
          <t>No</t>
        </is>
      </c>
      <c r="O167" s="8" t="inlineStr">
        <is>
          <t>No HPO term retained (all its terms occur in only one of the 400 entries)</t>
        </is>
      </c>
      <c r="P167" s="8" t="n"/>
    </row>
    <row r="168">
      <c r="A168" s="8" t="inlineStr">
        <is>
          <t>CILP_0167</t>
        </is>
      </c>
      <c r="B168" s="8" t="inlineStr">
        <is>
          <t>Leber Congenital Amaurosis</t>
        </is>
      </c>
      <c r="C168" s="8" t="inlineStr">
        <is>
          <t>LCA19</t>
        </is>
      </c>
      <c r="D168" s="8" t="inlineStr">
        <is>
          <t>618513</t>
        </is>
      </c>
      <c r="E168" s="8" t="inlineStr">
        <is>
          <t>OMIM:618513</t>
        </is>
      </c>
      <c r="F168" s="8" t="inlineStr">
        <is>
          <t>OMIM phenotype entry</t>
        </is>
      </c>
      <c r="G168" s="8" t="inlineStr">
        <is>
          <t>Primary</t>
        </is>
      </c>
      <c r="H168" s="8" t="inlineStr">
        <is>
          <t>Retinal ciliopathy</t>
        </is>
      </c>
      <c r="I168" s="8" t="inlineStr">
        <is>
          <t>USP45</t>
        </is>
      </c>
      <c r="J168" s="8" t="inlineStr">
        <is>
          <t>AR</t>
        </is>
      </c>
      <c r="K168" s="8" t="inlineStr">
        <is>
          <t>Eyes; Cardiovascular</t>
        </is>
      </c>
      <c r="L168" s="8" t="n">
        <v>6</v>
      </c>
      <c r="M168" s="8" t="inlineStr">
        <is>
          <t>HP:0000639; HP:0000546; HP:0000505; HP:0000543; HP:0007843; HP:0000654</t>
        </is>
      </c>
      <c r="N168" s="8" t="inlineStr">
        <is>
          <t>Yes</t>
        </is>
      </c>
      <c r="O168" s="8" t="n"/>
      <c r="P168" s="8" t="n"/>
    </row>
    <row r="169">
      <c r="A169" s="8" t="inlineStr">
        <is>
          <t>CILP_0168</t>
        </is>
      </c>
      <c r="B169" s="8" t="inlineStr">
        <is>
          <t>Leber Congenital Amaurosis</t>
        </is>
      </c>
      <c r="C169" s="8" t="inlineStr">
        <is>
          <t>LCA</t>
        </is>
      </c>
      <c r="D169" s="8" t="n"/>
      <c r="E169" s="8" t="inlineStr">
        <is>
          <t>ORPHA:65</t>
        </is>
      </c>
      <c r="F169" s="8" t="inlineStr">
        <is>
          <t>Orphanet entry (matched by disease name)</t>
        </is>
      </c>
      <c r="G169" s="8" t="inlineStr">
        <is>
          <t>Primary</t>
        </is>
      </c>
      <c r="H169" s="8" t="inlineStr">
        <is>
          <t>Retinal ciliopathy</t>
        </is>
      </c>
      <c r="I169" s="8" t="inlineStr">
        <is>
          <t>INPP5E; IQCB1</t>
        </is>
      </c>
      <c r="J169" s="8" t="inlineStr">
        <is>
          <t>Genetically heterogeneous</t>
        </is>
      </c>
      <c r="K169" s="8" t="inlineStr">
        <is>
          <t>Eyes; Ears; Head and neck; Nervous system; Skeletal</t>
        </is>
      </c>
      <c r="L169" s="8" t="n">
        <v>25</v>
      </c>
      <c r="M169" s="8" t="inlineStr">
        <is>
          <t>HP:0001141; HP:0007703; HP:0012795; HP:0000512; HP:0000518; HP:0000540; HP:0000563; HP:0000613; HP:0000639; HP:0001250; HP:0001252; HP:0001483; HP:0002084; HP:0002269; HP:0004374; HP:0006817; HP:0030211; HP:0030466; HP:0000365; HP:0000543; HP:0000729; HP:0001249; HP:0001263; HP:0001270; HP:0012426</t>
        </is>
      </c>
      <c r="N169" s="8" t="inlineStr">
        <is>
          <t>Yes</t>
        </is>
      </c>
      <c r="O169" s="8" t="n"/>
      <c r="P169" s="8" t="n"/>
    </row>
    <row r="170">
      <c r="A170" s="8" t="inlineStr">
        <is>
          <t>CILP_0169</t>
        </is>
      </c>
      <c r="B170" s="8" t="inlineStr">
        <is>
          <t>Lowe Oculocerebrorenal Syndrome</t>
        </is>
      </c>
      <c r="C170" s="8" t="inlineStr">
        <is>
          <t>OCRL</t>
        </is>
      </c>
      <c r="D170" s="8" t="inlineStr">
        <is>
          <t>309000</t>
        </is>
      </c>
      <c r="E170" s="8" t="inlineStr">
        <is>
          <t>OMIM:309000</t>
        </is>
      </c>
      <c r="F170" s="8" t="inlineStr">
        <is>
          <t>OMIM phenotype entry</t>
        </is>
      </c>
      <c r="G170" s="8" t="inlineStr">
        <is>
          <t>Primary</t>
        </is>
      </c>
      <c r="H170" s="8" t="inlineStr">
        <is>
          <t>Renal-hepatic ciliopathy</t>
        </is>
      </c>
      <c r="I170" s="8" t="inlineStr">
        <is>
          <t>OCRL</t>
        </is>
      </c>
      <c r="J170" s="8" t="inlineStr">
        <is>
          <t>XLR</t>
        </is>
      </c>
      <c r="K170" s="8" t="inlineStr">
        <is>
          <t>Abdomen; Eyes; Growth; Genitourinary; Head and neck; Limbs; Nervous system; Metabolism; Skeletal; Skin</t>
        </is>
      </c>
      <c r="L170" s="8" t="n">
        <v>52</v>
      </c>
      <c r="M170" s="8" t="inlineStr">
        <is>
          <t>HP:0003236; HP:0003355; HP:0004322; HP:0001250; HP:0100490; HP:0000083; HP:0001252; HP:0000718; HP:0000519; HP:0004639; HP:0003109; HP:0008897; HP:0002857; HP:0000559; HP:0002019; HP:0001249; HP:0007109; HP:0003126; HP:0025131; HP:0007948; HP:0003124; HP:0001382; HP:0001263; HP:0010562; HP:0002827; HP:0000926; HP:0002748; HP:0000568; HP:0002749; HP:0003774; HP:6000615; HP:0001508; HP:0006297; HP:0000733; HP:0007663; HP:0002119; HP:0025435; HP:0003646; HP:0001225; HP:0002756; HP:0003148; HP:0002650; HP:0001284; HP:0001482; HP:0009473; HP:0002808; HP:0001319; HP:0000505; HP:0001994; HP:0000028; HP:0000501; HP:0002049</t>
        </is>
      </c>
      <c r="N170" s="8" t="inlineStr">
        <is>
          <t>No</t>
        </is>
      </c>
      <c r="O170" s="8" t="inlineStr">
        <is>
          <t>Disease family with fewer than 5 entries</t>
        </is>
      </c>
      <c r="P170" s="8" t="n"/>
    </row>
    <row r="171">
      <c r="A171" s="8" t="inlineStr">
        <is>
          <t>CILP_0170</t>
        </is>
      </c>
      <c r="B171" s="8" t="inlineStr">
        <is>
          <t>McKusick-Kaufman Syndrome</t>
        </is>
      </c>
      <c r="C171" s="8" t="inlineStr">
        <is>
          <t>MKKS</t>
        </is>
      </c>
      <c r="D171" s="8" t="inlineStr">
        <is>
          <t>236700</t>
        </is>
      </c>
      <c r="E171" s="8" t="inlineStr">
        <is>
          <t>OMIM:236700</t>
        </is>
      </c>
      <c r="F171" s="8" t="inlineStr">
        <is>
          <t>OMIM phenotype entry</t>
        </is>
      </c>
      <c r="G171" s="8" t="inlineStr">
        <is>
          <t>Primary</t>
        </is>
      </c>
      <c r="H171" s="8" t="inlineStr">
        <is>
          <t>Multisystem ciliopathy</t>
        </is>
      </c>
      <c r="I171" s="8" t="inlineStr">
        <is>
          <t>MKKS</t>
        </is>
      </c>
      <c r="J171" s="8" t="inlineStr">
        <is>
          <t>AR</t>
        </is>
      </c>
      <c r="K171" s="8" t="inlineStr">
        <is>
          <t>Abdomen; Cardiovascular; Genitourinary; Limbs; Nervous system; Metabolism; Respiratory; Skeletal</t>
        </is>
      </c>
      <c r="L171" s="8" t="n">
        <v>19</v>
      </c>
      <c r="M171" s="8" t="inlineStr">
        <is>
          <t>HP:0000143; HP:0001374; HP:0000145; HP:0001586; HP:0002023; HP:0002089; HP:0001162; HP:0000072; HP:0002251; HP:0010741; HP:0000969; HP:0030010; HP:0030680; HP:0001159; HP:0006159; HP:0000113; HP:0000028; HP:0000126; HP:0000148</t>
        </is>
      </c>
      <c r="N171" s="8" t="inlineStr">
        <is>
          <t>No</t>
        </is>
      </c>
      <c r="O171" s="8" t="inlineStr">
        <is>
          <t>Disease family with fewer than 5 entries</t>
        </is>
      </c>
      <c r="P171" s="8" t="n"/>
    </row>
    <row r="172">
      <c r="A172" s="8" t="inlineStr">
        <is>
          <t>CILP_0171</t>
        </is>
      </c>
      <c r="B172" s="8" t="inlineStr">
        <is>
          <t>Meckel–Gruber Syndrome</t>
        </is>
      </c>
      <c r="C172" s="8" t="inlineStr">
        <is>
          <t>MKS1</t>
        </is>
      </c>
      <c r="D172" s="8" t="inlineStr">
        <is>
          <t>249000</t>
        </is>
      </c>
      <c r="E172" s="8" t="inlineStr">
        <is>
          <t>OMIM:249000</t>
        </is>
      </c>
      <c r="F172" s="8" t="inlineStr">
        <is>
          <t>OMIM phenotype entry</t>
        </is>
      </c>
      <c r="G172" s="8" t="inlineStr">
        <is>
          <t>Primary</t>
        </is>
      </c>
      <c r="H172" s="8" t="inlineStr">
        <is>
          <t>Neurodevelopmental ciliopathy</t>
        </is>
      </c>
      <c r="I172" s="8" t="inlineStr">
        <is>
          <t>MKS1</t>
        </is>
      </c>
      <c r="J172" s="8" t="inlineStr">
        <is>
          <t>AR</t>
        </is>
      </c>
      <c r="K172" s="8" t="inlineStr">
        <is>
          <t>Abdomen; Eyes; Ears; Cardiovascular; Endocrine; Growth; Genitourinary; Immune system; Head and neck; Limbs; Nervous system; Metabolism; Respiratory; Skeletal</t>
        </is>
      </c>
      <c r="L172" s="8" t="n">
        <v>81</v>
      </c>
      <c r="M172" s="8" t="inlineStr">
        <is>
          <t>HP:0002023; HP:0100490; HP:0001252; HP:0001408; HP:0000319; HP:0000316; HP:0000238; HP:0002419; HP:0009466; HP:0002617; HP:0000835; HP:0006872; HP:0004639; HP:0025336; HP:0001643; HP:0000113; HP:0001600; HP:0000175; HP:0000252; HP:0001341; HP:0001583; HP:0001344; HP:0000695; HP:0002198; HP:0005343; HP:0000130; HP:0001263; HP:0003241; HP:0100259; HP:0002308; HP:0000800; HP:0000601; HP:0000568; HP:0009931; HP:0006267; HP:0001539; HP:0000204; HP:0000369; HP:0001671; HP:0002323; HP:0000340; HP:0002089; HP:0001195; HP:0000061; HP:0001274; HP:0002085; HP:0000180; HP:0001829; HP:0001746; HP:0000337; HP:0001305; HP:0000612; HP:0000219; HP:0002119; HP:0001747; HP:0030084; HP:0000537; HP:0001623; HP:0001744; HP:0000033; HP:0008936; HP:0001562; HP:0000154; HP:0001883; HP:0001321; HP:0031936; HP:0001162; HP:0001680; HP:0000470; HP:0000508; HP:0006563; HP:0006487; HP:0001511; HP:0001830; HP:0001159; HP:0000069; HP:0000465; HP:0000028; HP:0002566; HP:0000347; HP:0000104</t>
        </is>
      </c>
      <c r="N172" s="8" t="inlineStr">
        <is>
          <t>Yes</t>
        </is>
      </c>
      <c r="O172" s="8" t="n"/>
      <c r="P172" s="8" t="n"/>
    </row>
    <row r="173">
      <c r="A173" s="8" t="inlineStr">
        <is>
          <t>CILP_0172</t>
        </is>
      </c>
      <c r="B173" s="8" t="inlineStr">
        <is>
          <t>Meckel–Gruber Syndrome</t>
        </is>
      </c>
      <c r="C173" s="8" t="inlineStr">
        <is>
          <t>MKS7</t>
        </is>
      </c>
      <c r="D173" s="8" t="inlineStr">
        <is>
          <t>267010</t>
        </is>
      </c>
      <c r="E173" s="8" t="inlineStr">
        <is>
          <t>OMIM:267010</t>
        </is>
      </c>
      <c r="F173" s="8" t="inlineStr">
        <is>
          <t>OMIM phenotype entry</t>
        </is>
      </c>
      <c r="G173" s="8" t="inlineStr">
        <is>
          <t>Primary</t>
        </is>
      </c>
      <c r="H173" s="8" t="inlineStr">
        <is>
          <t>Neurodevelopmental ciliopathy</t>
        </is>
      </c>
      <c r="I173" s="8" t="inlineStr">
        <is>
          <t>NPHP3</t>
        </is>
      </c>
      <c r="J173" s="8" t="inlineStr">
        <is>
          <t>AR</t>
        </is>
      </c>
      <c r="K173" s="8" t="inlineStr">
        <is>
          <t>Abdomen; Cardiovascular; Genitourinary; Immune system; Head and neck; Limbs; Nervous system; Skeletal</t>
        </is>
      </c>
      <c r="L173" s="8" t="n">
        <v>22</v>
      </c>
      <c r="M173" s="8" t="inlineStr">
        <is>
          <t>HP:0003774; HP:0001650; HP:0001562; HP:0001276; HP:0001396; HP:0001696; HP:0000023; HP:0002190; HP:0100611; HP:0001409; HP:0001408; HP:0000239; HP:0001305; HP:0000348; HP:0001737; HP:0001643; HP:0001830; HP:0000003; HP:0001631; HP:0002613; HP:0001433; HP:0001667</t>
        </is>
      </c>
      <c r="N173" s="8" t="inlineStr">
        <is>
          <t>Yes</t>
        </is>
      </c>
      <c r="O173" s="8" t="n"/>
      <c r="P173" s="8" t="n"/>
    </row>
    <row r="174">
      <c r="A174" s="8" t="inlineStr">
        <is>
          <t>CILP_0173</t>
        </is>
      </c>
      <c r="B174" s="8" t="inlineStr">
        <is>
          <t>Meckel–Gruber Syndrome</t>
        </is>
      </c>
      <c r="C174" s="8" t="inlineStr">
        <is>
          <t>MKS2</t>
        </is>
      </c>
      <c r="D174" s="8" t="inlineStr">
        <is>
          <t>603194</t>
        </is>
      </c>
      <c r="E174" s="8" t="inlineStr">
        <is>
          <t>OMIM:603194</t>
        </is>
      </c>
      <c r="F174" s="8" t="inlineStr">
        <is>
          <t>OMIM phenotype entry</t>
        </is>
      </c>
      <c r="G174" s="8" t="inlineStr">
        <is>
          <t>Primary</t>
        </is>
      </c>
      <c r="H174" s="8" t="inlineStr">
        <is>
          <t>Neurodevelopmental ciliopathy</t>
        </is>
      </c>
      <c r="I174" s="8" t="inlineStr">
        <is>
          <t>TMEM216</t>
        </is>
      </c>
      <c r="J174" s="8" t="inlineStr">
        <is>
          <t>AR</t>
        </is>
      </c>
      <c r="K174" s="8" t="inlineStr">
        <is>
          <t>Abdomen; Eyes; Growth; Genitourinary; Head and neck; Limbs; Nervous system; Skeletal</t>
        </is>
      </c>
      <c r="L174" s="8" t="n">
        <v>15</v>
      </c>
      <c r="M174" s="8" t="inlineStr">
        <is>
          <t>HP:0000175; HP:0002323; HP:0001162; HP:0002084; HP:0010442; HP:0001408; HP:0000107; HP:0000568; HP:0001305; HP:0006487; HP:0001539; HP:0001511; HP:0000476; HP:0002566; HP:0002435</t>
        </is>
      </c>
      <c r="N174" s="8" t="inlineStr">
        <is>
          <t>Yes</t>
        </is>
      </c>
      <c r="O174" s="8" t="n"/>
      <c r="P174" s="8" t="n"/>
    </row>
    <row r="175">
      <c r="A175" s="8" t="inlineStr">
        <is>
          <t>CILP_0174</t>
        </is>
      </c>
      <c r="B175" s="8" t="inlineStr">
        <is>
          <t>Meckel–Gruber Syndrome</t>
        </is>
      </c>
      <c r="C175" s="8" t="inlineStr">
        <is>
          <t>MKS3</t>
        </is>
      </c>
      <c r="D175" s="8" t="inlineStr">
        <is>
          <t>607361</t>
        </is>
      </c>
      <c r="E175" s="8" t="inlineStr">
        <is>
          <t>OMIM:607361</t>
        </is>
      </c>
      <c r="F175" s="8" t="inlineStr">
        <is>
          <t>OMIM phenotype entry</t>
        </is>
      </c>
      <c r="G175" s="8" t="inlineStr">
        <is>
          <t>Primary</t>
        </is>
      </c>
      <c r="H175" s="8" t="inlineStr">
        <is>
          <t>Neurodevelopmental ciliopathy</t>
        </is>
      </c>
      <c r="I175" s="8" t="inlineStr">
        <is>
          <t>TMEM67</t>
        </is>
      </c>
      <c r="J175" s="8" t="inlineStr">
        <is>
          <t>AR</t>
        </is>
      </c>
      <c r="K175" s="8" t="inlineStr">
        <is>
          <t>Abdomen; Genitourinary; Head and neck; Limbs; Nervous system; Skeletal</t>
        </is>
      </c>
      <c r="L175" s="8" t="n">
        <v>12</v>
      </c>
      <c r="M175" s="8" t="inlineStr">
        <is>
          <t>HP:0000175; HP:0001162; HP:0002085; HP:0001395; HP:0002240; HP:0010442; HP:0001408; HP:0006563; HP:0000238; HP:0001305; HP:0001830; HP:0000003</t>
        </is>
      </c>
      <c r="N175" s="8" t="inlineStr">
        <is>
          <t>Yes</t>
        </is>
      </c>
      <c r="O175" s="8" t="n"/>
      <c r="P175" s="8" t="n"/>
    </row>
    <row r="176">
      <c r="A176" s="8" t="inlineStr">
        <is>
          <t>CILP_0175</t>
        </is>
      </c>
      <c r="B176" s="8" t="inlineStr">
        <is>
          <t>Meckel–Gruber Syndrome</t>
        </is>
      </c>
      <c r="C176" s="8" t="inlineStr">
        <is>
          <t>MKS4</t>
        </is>
      </c>
      <c r="D176" s="8" t="inlineStr">
        <is>
          <t>611134</t>
        </is>
      </c>
      <c r="E176" s="8" t="inlineStr">
        <is>
          <t>OMIM:611134</t>
        </is>
      </c>
      <c r="F176" s="8" t="inlineStr">
        <is>
          <t>OMIM phenotype entry</t>
        </is>
      </c>
      <c r="G176" s="8" t="inlineStr">
        <is>
          <t>Primary</t>
        </is>
      </c>
      <c r="H176" s="8" t="inlineStr">
        <is>
          <t>Neurodevelopmental ciliopathy</t>
        </is>
      </c>
      <c r="I176" s="8" t="inlineStr">
        <is>
          <t>CEP290</t>
        </is>
      </c>
      <c r="J176" s="8" t="inlineStr">
        <is>
          <t>AR</t>
        </is>
      </c>
      <c r="K176" s="8" t="inlineStr">
        <is>
          <t>Abdomen; Eyes; Cardiovascular; Growth; Genitourinary; Head and neck; Limbs; Nervous system; Skeletal</t>
        </is>
      </c>
      <c r="L176" s="8" t="n">
        <v>18</v>
      </c>
      <c r="M176" s="8" t="inlineStr">
        <is>
          <t>HP:0000252; HP:0000175; HP:0002323; HP:0002079; HP:0001162; HP:0002084; HP:0001629; HP:0001408; HP:0000107; HP:0001305; HP:0000568; HP:0000238; HP:0002419; HP:0006487; HP:0001511; HP:0001631; HP:0002335; HP:0002435</t>
        </is>
      </c>
      <c r="N176" s="8" t="inlineStr">
        <is>
          <t>Yes</t>
        </is>
      </c>
      <c r="O176" s="8" t="n"/>
      <c r="P176" s="8" t="n"/>
    </row>
    <row r="177">
      <c r="A177" s="8" t="inlineStr">
        <is>
          <t>CILP_0176</t>
        </is>
      </c>
      <c r="B177" s="8" t="inlineStr">
        <is>
          <t>Meckel–Gruber Syndrome</t>
        </is>
      </c>
      <c r="C177" s="8" t="inlineStr">
        <is>
          <t>MKS5</t>
        </is>
      </c>
      <c r="D177" s="8" t="inlineStr">
        <is>
          <t>611561</t>
        </is>
      </c>
      <c r="E177" s="8" t="inlineStr">
        <is>
          <t>OMIM:611561</t>
        </is>
      </c>
      <c r="F177" s="8" t="inlineStr">
        <is>
          <t>OMIM phenotype entry</t>
        </is>
      </c>
      <c r="G177" s="8" t="inlineStr">
        <is>
          <t>Primary</t>
        </is>
      </c>
      <c r="H177" s="8" t="inlineStr">
        <is>
          <t>Neurodevelopmental ciliopathy</t>
        </is>
      </c>
      <c r="I177" s="8" t="inlineStr">
        <is>
          <t>RPGRIP1L</t>
        </is>
      </c>
      <c r="J177" s="8" t="inlineStr">
        <is>
          <t>AR</t>
        </is>
      </c>
      <c r="K177" s="8" t="inlineStr">
        <is>
          <t>Abdomen; Eyes; Genitourinary; Head and neck; Limbs; Nervous system; Skeletal</t>
        </is>
      </c>
      <c r="L177" s="8" t="n">
        <v>10</v>
      </c>
      <c r="M177" s="8" t="inlineStr">
        <is>
          <t>HP:0000175; HP:0002323; HP:0001162; HP:0001408; HP:0002085; HP:0000107; HP:0000568; HP:0006487; HP:0001830; HP:0000204</t>
        </is>
      </c>
      <c r="N177" s="8" t="inlineStr">
        <is>
          <t>Yes</t>
        </is>
      </c>
      <c r="O177" s="8" t="n"/>
      <c r="P177" s="8" t="n"/>
    </row>
    <row r="178">
      <c r="A178" s="8" t="inlineStr">
        <is>
          <t>CILP_0177</t>
        </is>
      </c>
      <c r="B178" s="8" t="inlineStr">
        <is>
          <t>Meckel–Gruber Syndrome</t>
        </is>
      </c>
      <c r="C178" s="8" t="inlineStr">
        <is>
          <t>MKS6</t>
        </is>
      </c>
      <c r="D178" s="8" t="inlineStr">
        <is>
          <t>612284</t>
        </is>
      </c>
      <c r="E178" s="8" t="inlineStr">
        <is>
          <t>OMIM:612284</t>
        </is>
      </c>
      <c r="F178" s="8" t="inlineStr">
        <is>
          <t>OMIM phenotype entry</t>
        </is>
      </c>
      <c r="G178" s="8" t="inlineStr">
        <is>
          <t>Primary</t>
        </is>
      </c>
      <c r="H178" s="8" t="inlineStr">
        <is>
          <t>Neurodevelopmental ciliopathy</t>
        </is>
      </c>
      <c r="I178" s="8" t="inlineStr">
        <is>
          <t>CC2D2A</t>
        </is>
      </c>
      <c r="J178" s="8" t="inlineStr">
        <is>
          <t>AR</t>
        </is>
      </c>
      <c r="K178" s="8" t="inlineStr">
        <is>
          <t>Abdomen; Genitourinary; Head and neck; Limbs; Nervous system; Respiratory; Skeletal</t>
        </is>
      </c>
      <c r="L178" s="8" t="n">
        <v>19</v>
      </c>
      <c r="M178" s="8" t="inlineStr">
        <is>
          <t>HP:0002323; HP:0000175; HP:0002089; HP:0001762; HP:0006706; HP:0001162; HP:0001395; HP:0002085; HP:0000085; HP:0011467; HP:0010477; HP:0033183; HP:0001408; HP:0000107; HP:0000238; HP:0001407; HP:0000812; HP:0001830; HP:0000204</t>
        </is>
      </c>
      <c r="N178" s="8" t="inlineStr">
        <is>
          <t>Yes</t>
        </is>
      </c>
      <c r="O178" s="8" t="n"/>
      <c r="P178" s="8" t="n"/>
    </row>
    <row r="179">
      <c r="A179" s="8" t="inlineStr">
        <is>
          <t>CILP_0178</t>
        </is>
      </c>
      <c r="B179" s="8" t="inlineStr">
        <is>
          <t>Meckel–Gruber Syndrome</t>
        </is>
      </c>
      <c r="C179" s="8" t="inlineStr">
        <is>
          <t>MKS8</t>
        </is>
      </c>
      <c r="D179" s="8" t="inlineStr">
        <is>
          <t>613885</t>
        </is>
      </c>
      <c r="E179" s="8" t="inlineStr">
        <is>
          <t>OMIM:613885</t>
        </is>
      </c>
      <c r="F179" s="8" t="inlineStr">
        <is>
          <t>OMIM phenotype entry</t>
        </is>
      </c>
      <c r="G179" s="8" t="inlineStr">
        <is>
          <t>Primary</t>
        </is>
      </c>
      <c r="H179" s="8" t="inlineStr">
        <is>
          <t>Neurodevelopmental ciliopathy</t>
        </is>
      </c>
      <c r="I179" s="8" t="inlineStr">
        <is>
          <t>TCTN2</t>
        </is>
      </c>
      <c r="J179" s="8" t="inlineStr">
        <is>
          <t>AR</t>
        </is>
      </c>
      <c r="K179" s="8" t="inlineStr">
        <is>
          <t>Abdomen; Eyes; Ears; Cardiovascular; Genitourinary; Head and neck; Limbs; Nervous system; Skeletal</t>
        </is>
      </c>
      <c r="L179" s="8" t="n">
        <v>22</v>
      </c>
      <c r="M179" s="8" t="inlineStr">
        <is>
          <t>HP:0000175; HP:0000252; HP:0001762; HP:0000062; HP:0002085; HP:0003196; HP:0000470; HP:0002084; HP:0003270; HP:0010442; HP:0000528; HP:0004719; HP:0000337; HP:0000568; HP:0025700; HP:0000774; HP:0001698; HP:0000113; HP:0000204; HP:0000457; HP:0000105; HP:0000369</t>
        </is>
      </c>
      <c r="N179" s="8" t="inlineStr">
        <is>
          <t>Yes</t>
        </is>
      </c>
      <c r="O179" s="8" t="n"/>
      <c r="P179" s="8" t="n"/>
    </row>
    <row r="180">
      <c r="A180" s="8" t="inlineStr">
        <is>
          <t>CILP_0179</t>
        </is>
      </c>
      <c r="B180" s="8" t="inlineStr">
        <is>
          <t>Meckel–Gruber Syndrome</t>
        </is>
      </c>
      <c r="C180" s="8" t="inlineStr">
        <is>
          <t>MKS10</t>
        </is>
      </c>
      <c r="D180" s="8" t="inlineStr">
        <is>
          <t>614175</t>
        </is>
      </c>
      <c r="E180" s="8" t="inlineStr">
        <is>
          <t>OMIM:614175</t>
        </is>
      </c>
      <c r="F180" s="8" t="inlineStr">
        <is>
          <t>OMIM phenotype entry</t>
        </is>
      </c>
      <c r="G180" s="8" t="inlineStr">
        <is>
          <t>Primary</t>
        </is>
      </c>
      <c r="H180" s="8" t="inlineStr">
        <is>
          <t>Neurodevelopmental ciliopathy</t>
        </is>
      </c>
      <c r="I180" s="8" t="inlineStr">
        <is>
          <t>B9D2</t>
        </is>
      </c>
      <c r="J180" s="8" t="inlineStr">
        <is>
          <t>AR</t>
        </is>
      </c>
      <c r="K180" s="8" t="inlineStr">
        <is>
          <t>Abdomen; Eyes; Ears; Genitourinary; Head and neck; Limbs; Nervous system; Skeletal; Skin</t>
        </is>
      </c>
      <c r="L180" s="8" t="n">
        <v>24</v>
      </c>
      <c r="M180" s="8" t="inlineStr">
        <is>
          <t>HP:0000286; HP:0002323; HP:0001250; HP:0002085; HP:0009487; HP:0002419; HP:0001305; HP:0000377; HP:0000054; HP:0000175; HP:0001321; HP:0001162; HP:0002198; HP:0000193; HP:0045025; HP:0100259; HP:0012385; HP:0000508; HP:0000107; HP:0006563; HP:0001830; HP:0002007; HP:0000960; HP:0000047</t>
        </is>
      </c>
      <c r="N180" s="8" t="inlineStr">
        <is>
          <t>Yes</t>
        </is>
      </c>
      <c r="O180" s="8" t="n"/>
      <c r="P180" s="8" t="inlineStr">
        <is>
          <t>Same OMIM entry also curated under Joubert Syndrome (CILP_0113)</t>
        </is>
      </c>
    </row>
    <row r="181">
      <c r="A181" s="8" t="inlineStr">
        <is>
          <t>CILP_0180</t>
        </is>
      </c>
      <c r="B181" s="8" t="inlineStr">
        <is>
          <t>Meckel–Gruber Syndrome</t>
        </is>
      </c>
      <c r="C181" s="8" t="inlineStr">
        <is>
          <t>MKS9</t>
        </is>
      </c>
      <c r="D181" s="8" t="inlineStr">
        <is>
          <t>614209</t>
        </is>
      </c>
      <c r="E181" s="8" t="inlineStr">
        <is>
          <t>OMIM:614209</t>
        </is>
      </c>
      <c r="F181" s="8" t="inlineStr">
        <is>
          <t>OMIM phenotype entry</t>
        </is>
      </c>
      <c r="G181" s="8" t="inlineStr">
        <is>
          <t>Primary</t>
        </is>
      </c>
      <c r="H181" s="8" t="inlineStr">
        <is>
          <t>Neurodevelopmental ciliopathy</t>
        </is>
      </c>
      <c r="I181" s="8" t="inlineStr">
        <is>
          <t>B9D1</t>
        </is>
      </c>
      <c r="J181" s="8" t="inlineStr">
        <is>
          <t>AR</t>
        </is>
      </c>
      <c r="K181" s="8" t="inlineStr">
        <is>
          <t>Genitourinary; Head and neck; Limbs; Nervous system; Skeletal</t>
        </is>
      </c>
      <c r="L181" s="8" t="n">
        <v>7</v>
      </c>
      <c r="M181" s="8" t="inlineStr">
        <is>
          <t>HP:0009826; HP:0001762; HP:0000062; HP:0002085; HP:0000932; HP:0000003; HP:0034217</t>
        </is>
      </c>
      <c r="N181" s="8" t="inlineStr">
        <is>
          <t>Yes</t>
        </is>
      </c>
      <c r="O181" s="8" t="n"/>
      <c r="P181" s="8" t="n"/>
    </row>
    <row r="182">
      <c r="A182" s="8" t="inlineStr">
        <is>
          <t>CILP_0181</t>
        </is>
      </c>
      <c r="B182" s="8" t="inlineStr">
        <is>
          <t>Meckel–Gruber Syndrome</t>
        </is>
      </c>
      <c r="C182" s="8" t="inlineStr">
        <is>
          <t>MKS11</t>
        </is>
      </c>
      <c r="D182" s="8" t="inlineStr">
        <is>
          <t>615397</t>
        </is>
      </c>
      <c r="E182" s="8" t="inlineStr">
        <is>
          <t>OMIM:615397</t>
        </is>
      </c>
      <c r="F182" s="8" t="inlineStr">
        <is>
          <t>OMIM phenotype entry</t>
        </is>
      </c>
      <c r="G182" s="8" t="inlineStr">
        <is>
          <t>Primary</t>
        </is>
      </c>
      <c r="H182" s="8" t="inlineStr">
        <is>
          <t>Neurodevelopmental ciliopathy</t>
        </is>
      </c>
      <c r="I182" s="8" t="inlineStr">
        <is>
          <t>TMEM231</t>
        </is>
      </c>
      <c r="J182" s="8" t="inlineStr">
        <is>
          <t>AR</t>
        </is>
      </c>
      <c r="K182" s="8" t="inlineStr">
        <is>
          <t>Genitourinary; Head and neck; Limbs; Nervous system; Skeletal</t>
        </is>
      </c>
      <c r="L182" s="8" t="n">
        <v>4</v>
      </c>
      <c r="M182" s="8" t="inlineStr">
        <is>
          <t>HP:0001562; HP:0002085; HP:0010442; HP:0000113</t>
        </is>
      </c>
      <c r="N182" s="8" t="inlineStr">
        <is>
          <t>Yes</t>
        </is>
      </c>
      <c r="O182" s="8" t="n"/>
      <c r="P182" s="8" t="n"/>
    </row>
    <row r="183">
      <c r="A183" s="8" t="inlineStr">
        <is>
          <t>CILP_0182</t>
        </is>
      </c>
      <c r="B183" s="8" t="inlineStr">
        <is>
          <t>Meckel–Gruber Syndrome</t>
        </is>
      </c>
      <c r="C183" s="8" t="inlineStr">
        <is>
          <t>MKS12</t>
        </is>
      </c>
      <c r="D183" s="8" t="inlineStr">
        <is>
          <t>616258</t>
        </is>
      </c>
      <c r="E183" s="8" t="inlineStr">
        <is>
          <t>OMIM:616258</t>
        </is>
      </c>
      <c r="F183" s="8" t="inlineStr">
        <is>
          <t>OMIM phenotype entry</t>
        </is>
      </c>
      <c r="G183" s="8" t="inlineStr">
        <is>
          <t>Primary</t>
        </is>
      </c>
      <c r="H183" s="8" t="inlineStr">
        <is>
          <t>Neurodevelopmental ciliopathy</t>
        </is>
      </c>
      <c r="I183" s="8" t="inlineStr">
        <is>
          <t>KIF14</t>
        </is>
      </c>
      <c r="J183" s="8" t="inlineStr">
        <is>
          <t>AR</t>
        </is>
      </c>
      <c r="K183" s="8" t="inlineStr">
        <is>
          <t>Ears; Growth; Genitourinary; Head and neck; Limbs; Nervous system; Skeletal; Skin</t>
        </is>
      </c>
      <c r="L183" s="8" t="n">
        <v>22</v>
      </c>
      <c r="M183" s="8" t="inlineStr">
        <is>
          <t>HP:0001562; HP:0010958; HP:0000252; HP:0000340; HP:0000013; HP:0000431; HP:0000463; HP:0001321; HP:0000089; HP:0000193; HP:0001274; HP:0032464; HP:0009760; HP:0001838; HP:0002804; HP:0006872; HP:0002139; HP:0001511; HP:0002335; HP:0000369; HP:0000347; HP:0000148</t>
        </is>
      </c>
      <c r="N183" s="8" t="inlineStr">
        <is>
          <t>Yes</t>
        </is>
      </c>
      <c r="O183" s="8" t="n"/>
      <c r="P183" s="8" t="n"/>
    </row>
    <row r="184">
      <c r="A184" s="8" t="inlineStr">
        <is>
          <t>CILP_0183</t>
        </is>
      </c>
      <c r="B184" s="8" t="inlineStr">
        <is>
          <t>Meckel–Gruber Syndrome</t>
        </is>
      </c>
      <c r="C184" s="8" t="inlineStr">
        <is>
          <t>MKS13</t>
        </is>
      </c>
      <c r="D184" s="8" t="inlineStr">
        <is>
          <t>617562</t>
        </is>
      </c>
      <c r="E184" s="8" t="inlineStr">
        <is>
          <t>OMIM:617562</t>
        </is>
      </c>
      <c r="F184" s="8" t="inlineStr">
        <is>
          <t>OMIM phenotype entry</t>
        </is>
      </c>
      <c r="G184" s="8" t="inlineStr">
        <is>
          <t>Primary</t>
        </is>
      </c>
      <c r="H184" s="8" t="inlineStr">
        <is>
          <t>Neurodevelopmental ciliopathy</t>
        </is>
      </c>
      <c r="I184" s="8" t="inlineStr">
        <is>
          <t>TMEM107</t>
        </is>
      </c>
      <c r="J184" s="8" t="inlineStr">
        <is>
          <t>AR</t>
        </is>
      </c>
      <c r="K184" s="8" t="inlineStr">
        <is>
          <t>Eyes; Genitourinary; Head and neck; Nervous system; Skeletal</t>
        </is>
      </c>
      <c r="L184" s="8" t="n">
        <v>11</v>
      </c>
      <c r="M184" s="8" t="inlineStr">
        <is>
          <t>HP:0001321; HP:0001371; HP:0001263; HP:0002085; HP:0001251; HP:0000657; HP:0002419; HP:0000488; HP:0000113; HP:0001249; HP:0000347</t>
        </is>
      </c>
      <c r="N184" s="8" t="inlineStr">
        <is>
          <t>Yes</t>
        </is>
      </c>
      <c r="O184" s="8" t="n"/>
      <c r="P184" s="8" t="inlineStr">
        <is>
          <t>Same OMIM entry also curated under Joubert Syndrome (CILP_0129)</t>
        </is>
      </c>
    </row>
    <row r="185">
      <c r="A185" s="8" t="inlineStr">
        <is>
          <t>CILP_0184</t>
        </is>
      </c>
      <c r="B185" s="8" t="inlineStr">
        <is>
          <t>Meckel–Gruber Syndrome</t>
        </is>
      </c>
      <c r="C185" s="8" t="inlineStr">
        <is>
          <t>MKS</t>
        </is>
      </c>
      <c r="D185" s="8" t="n"/>
      <c r="E185" s="8" t="inlineStr">
        <is>
          <t>OMIM:249000; OMIM:267010; OMIM:603194; OMIM:607361; OMIM:611134; OMIM:611561; OMIM:612284; OMIM:613885; OMIM:614175; OMIM:614209; OMIM:615397; OMIM:616258; OMIM:617562</t>
        </is>
      </c>
      <c r="F185" s="8" t="inlineStr">
        <is>
          <t>Family-level record (combined OMIM entries)</t>
        </is>
      </c>
      <c r="G185" s="8" t="inlineStr">
        <is>
          <t>Primary</t>
        </is>
      </c>
      <c r="H185" s="8" t="inlineStr">
        <is>
          <t>Neurodevelopmental ciliopathy</t>
        </is>
      </c>
      <c r="I185" s="8" t="inlineStr">
        <is>
          <t>CEP55; TCTN3; TMEM218; TXNDC15</t>
        </is>
      </c>
      <c r="J185" s="8" t="inlineStr">
        <is>
          <t>AR</t>
        </is>
      </c>
      <c r="K185" s="8" t="inlineStr">
        <is>
          <t>Abdomen; Eyes; Ears; Cardiovascular; Endocrine; Growth; Genitourinary; Immune system; Head and neck; Limbs; Nervous system; Metabolism; Respiratory; Skeletal; Skin</t>
        </is>
      </c>
      <c r="L185" s="8" t="n">
        <v>156</v>
      </c>
      <c r="M185" s="8" t="inlineStr">
        <is>
          <t>HP:0002023; HP:0100490; HP:0001252; HP:0001408; HP:0000319; HP:0000316; HP:0000238; HP:0002419; HP:0009466; HP:0002617; HP:0000835; HP:0006872; HP:0004639; HP:0025336; HP:0001643; HP:0000113; HP:0001600; HP:0000175; HP:0000252; HP:0001341; HP:0001583; HP:0001344; HP:0000695; HP:0002198; HP:0005343; HP:0000130; HP:0001263; HP:0003241; HP:0100259; HP:0002308; HP:0000800; HP:0000601; HP:0000568; HP:0009931; HP:0006267; HP:0001539; HP:0000204; HP:0000369; HP:0001671; HP:0002323; HP:0000340; HP:0002089; HP:0001195; HP:0000061; HP:0001274; HP:0002085; HP:0000180; HP:0001829; HP:0001746; HP:0000337; HP:0001305; HP:0000612; HP:0000219; HP:0002119; HP:0001747; HP:0030084; HP:0000537; HP:0001623; HP:0001744; HP:0000033; HP:0008936; HP:0001562; HP:0000154; HP:0001883; HP:0001321; HP:0031936; HP:0001162; HP:0001680; HP:0000470; HP:0000508; HP:0006563; HP:0006487; HP:0001511; HP:0001830; HP:0001159; HP:0000069; HP:0000465; HP:0000028; HP:0002566; HP:0000347; HP:0000104; HP:0003774; HP:0001650; HP:0001276; HP:0001396; HP:0001696; HP:0000023; HP:0002190; HP:0100611; HP:0001409; HP:0000239; HP:0000348; HP:0001737; HP:0000003; HP:0001631; HP:0002613; HP:0001433; HP:0001667; HP:0002084; HP:0010442; HP:0000107; HP:0000476; HP:0002435; HP:0001395; HP:0002240; HP:0002079; HP:0001629; HP:0002335; HP:0001762; HP:0006706; HP:0000085; HP:0011467; HP:0010477; HP:0033183; HP:0001407; HP:0000812; HP:0000062; HP:0003196; HP:0003270; HP:0000528; HP:0004719; HP:0025700; HP:0000774; HP:0001698; HP:0000457; HP:0000105; HP:0000286; HP:0001250; HP:0009487; HP:0000377; HP:0000054; HP:0000193; HP:0045025; HP:0012385; HP:0002007; HP:0000960; HP:0000047; HP:0009826; HP:0000932; HP:0034217; HP:0010958; HP:0000013; HP:0000431; HP:0000463; HP:0000089; HP:0032464; HP:0009760; HP:0001838; HP:0002804; HP:0002139; HP:0000148; HP:0001371; HP:0001251; HP:0000657; HP:0000488; HP:0001249</t>
        </is>
      </c>
      <c r="N185" s="8" t="inlineStr">
        <is>
          <t>Yes</t>
        </is>
      </c>
      <c r="O185" s="8" t="n"/>
      <c r="P185" s="8" t="n"/>
    </row>
    <row r="186">
      <c r="A186" s="8" t="inlineStr">
        <is>
          <t>CILP_0185</t>
        </is>
      </c>
      <c r="B186" s="8" t="inlineStr">
        <is>
          <t>Medulloblastoma</t>
        </is>
      </c>
      <c r="C186" s="8" t="inlineStr">
        <is>
          <t>MDB</t>
        </is>
      </c>
      <c r="D186" s="8" t="inlineStr">
        <is>
          <t>155255</t>
        </is>
      </c>
      <c r="E186" s="8" t="inlineStr">
        <is>
          <t>OMIM:155255</t>
        </is>
      </c>
      <c r="F186" s="8" t="inlineStr">
        <is>
          <t>OMIM phenotype entry</t>
        </is>
      </c>
      <c r="G186" s="8" t="inlineStr">
        <is>
          <t>Secondary</t>
        </is>
      </c>
      <c r="H186" s="8" t="inlineStr">
        <is>
          <t>Atypical / secondary ciliopathy</t>
        </is>
      </c>
      <c r="I186" s="8" t="inlineStr">
        <is>
          <t>BRCA2; CTNNB1; ELP1; PTCH2; SUFU</t>
        </is>
      </c>
      <c r="J186" s="8" t="inlineStr">
        <is>
          <t>SOMATIC_MOSAICISM; INCOMPLETE_PENETRANCE; AR; AD</t>
        </is>
      </c>
      <c r="K186" s="8" t="inlineStr">
        <is>
          <t>Nervous system</t>
        </is>
      </c>
      <c r="L186" s="8" t="n">
        <v>1</v>
      </c>
      <c r="M186" s="8" t="inlineStr">
        <is>
          <t>HP:0002885</t>
        </is>
      </c>
      <c r="N186" s="8" t="inlineStr">
        <is>
          <t>No</t>
        </is>
      </c>
      <c r="O186" s="8" t="inlineStr">
        <is>
          <t>Disease family with fewer than 5 entries</t>
        </is>
      </c>
      <c r="P186" s="8" t="n"/>
    </row>
    <row r="187">
      <c r="A187" s="8" t="inlineStr">
        <is>
          <t>CILP_0186</t>
        </is>
      </c>
      <c r="B187" s="8" t="inlineStr">
        <is>
          <t>Mental Retardation, Truncal Obesity, Retinal Dystrophy, and Micropenis</t>
        </is>
      </c>
      <c r="C187" s="8" t="inlineStr">
        <is>
          <t>MORMS</t>
        </is>
      </c>
      <c r="D187" s="8" t="inlineStr">
        <is>
          <t>610156</t>
        </is>
      </c>
      <c r="E187" s="8" t="inlineStr">
        <is>
          <t>OMIM:610156</t>
        </is>
      </c>
      <c r="F187" s="8" t="inlineStr">
        <is>
          <t>OMIM phenotype entry</t>
        </is>
      </c>
      <c r="G187" s="8" t="inlineStr">
        <is>
          <t>Secondary</t>
        </is>
      </c>
      <c r="H187" s="8" t="inlineStr">
        <is>
          <t>Retinal ciliopathy</t>
        </is>
      </c>
      <c r="I187" s="8" t="inlineStr">
        <is>
          <t>INPP5E</t>
        </is>
      </c>
      <c r="J187" s="8" t="inlineStr">
        <is>
          <t>AR</t>
        </is>
      </c>
      <c r="K187" s="8" t="inlineStr">
        <is>
          <t>Eyes; Growth; Genitourinary; Nervous system; Skeletal</t>
        </is>
      </c>
      <c r="L187" s="8" t="n">
        <v>11</v>
      </c>
      <c r="M187" s="8" t="inlineStr">
        <is>
          <t>HP:0000054; HP:0002342; HP:0000750; HP:0000662; HP:0008915; HP:0001252; HP:0000518; HP:0007663; HP:0001956; HP:0001257; HP:0000556</t>
        </is>
      </c>
      <c r="N187" s="8" t="inlineStr">
        <is>
          <t>No</t>
        </is>
      </c>
      <c r="O187" s="8" t="inlineStr">
        <is>
          <t>Disease family with fewer than 5 entries</t>
        </is>
      </c>
      <c r="P187" s="8" t="n"/>
    </row>
    <row r="188">
      <c r="A188" s="8" t="inlineStr">
        <is>
          <t>CILP_0187</t>
        </is>
      </c>
      <c r="B188" s="8" t="inlineStr">
        <is>
          <t>Morbid Obesity and Spermatogenic Failure</t>
        </is>
      </c>
      <c r="C188" s="8" t="inlineStr">
        <is>
          <t>MOSPGF</t>
        </is>
      </c>
      <c r="D188" s="8" t="inlineStr">
        <is>
          <t>615703</t>
        </is>
      </c>
      <c r="E188" s="8" t="inlineStr">
        <is>
          <t>OMIM:615703</t>
        </is>
      </c>
      <c r="F188" s="8" t="inlineStr">
        <is>
          <t>OMIM phenotype entry</t>
        </is>
      </c>
      <c r="G188" s="8" t="inlineStr">
        <is>
          <t>Primary</t>
        </is>
      </c>
      <c r="H188" s="8" t="inlineStr">
        <is>
          <t>General / needs curation</t>
        </is>
      </c>
      <c r="I188" s="8" t="inlineStr">
        <is>
          <t>CEP19</t>
        </is>
      </c>
      <c r="J188" s="8" t="inlineStr">
        <is>
          <t>AR</t>
        </is>
      </c>
      <c r="K188" s="8" t="inlineStr">
        <is>
          <t>Abdomen; Cardiovascular; Endocrine; Growth; Genitourinary; Nervous system; Metabolism</t>
        </is>
      </c>
      <c r="L188" s="8" t="n">
        <v>16</v>
      </c>
      <c r="M188" s="8" t="inlineStr">
        <is>
          <t>HP:0001397; HP:0003233; HP:0002155; HP:0003124; HP:0003141; HP:0005181; HP:0000822; HP:0001658; HP:0000789; HP:0000855; HP:0001635; HP:0005978; HP:0001513; HP:0000798; HP:0001249; HP:0000027</t>
        </is>
      </c>
      <c r="N188" s="8" t="inlineStr">
        <is>
          <t>No</t>
        </is>
      </c>
      <c r="O188" s="8" t="inlineStr">
        <is>
          <t>Disease family with fewer than 5 entries</t>
        </is>
      </c>
      <c r="P188" s="8" t="n"/>
    </row>
    <row r="189">
      <c r="A189" s="8" t="inlineStr">
        <is>
          <t>CILP_0188</t>
        </is>
      </c>
      <c r="B189" s="8" t="inlineStr">
        <is>
          <t>Multinucleated Neurons, Anhydramnios, Renal Dysplasia, Cerebellar Hypoplasia, and Hydranencephaly</t>
        </is>
      </c>
      <c r="C189" s="8" t="inlineStr">
        <is>
          <t>MARCH</t>
        </is>
      </c>
      <c r="D189" s="8" t="inlineStr">
        <is>
          <t>236500</t>
        </is>
      </c>
      <c r="E189" s="8" t="inlineStr">
        <is>
          <t>OMIM:236500</t>
        </is>
      </c>
      <c r="F189" s="8" t="inlineStr">
        <is>
          <t>OMIM phenotype entry</t>
        </is>
      </c>
      <c r="G189" s="8" t="inlineStr">
        <is>
          <t>Secondary</t>
        </is>
      </c>
      <c r="H189" s="8" t="inlineStr">
        <is>
          <t>Renal-hepatic ciliopathy</t>
        </is>
      </c>
      <c r="I189" s="8" t="inlineStr">
        <is>
          <t>CEP55</t>
        </is>
      </c>
      <c r="J189" s="8" t="inlineStr">
        <is>
          <t>AR</t>
        </is>
      </c>
      <c r="K189" s="8" t="inlineStr">
        <is>
          <t>Ears; Genitourinary; Head and neck; Limbs; Nervous system; Respiratory; Skeletal; Skin</t>
        </is>
      </c>
      <c r="L189" s="8" t="n">
        <v>28</v>
      </c>
      <c r="M189" s="8" t="inlineStr">
        <is>
          <t>HP:0002089; HP:0000089; HP:0002365; HP:0000463; HP:0001156; HP:0012725; HP:4000150; HP:0000418; HP:0000954; HP:0000414; HP:0005989; HP:0000476; HP:0000110; HP:0001562; HP:0001762; HP:0000452; HP:0001321; HP:0000470; HP:0045025; HP:0004691; HP:0012300; HP:0000308; HP:0000107; HP:0002804; HP:0002009; HP:0004209; HP:0000369; HP:0002324</t>
        </is>
      </c>
      <c r="N189" s="8" t="inlineStr">
        <is>
          <t>No</t>
        </is>
      </c>
      <c r="O189" s="8" t="inlineStr">
        <is>
          <t>Disease family with fewer than 5 entries</t>
        </is>
      </c>
      <c r="P189" s="8" t="n"/>
    </row>
    <row r="190">
      <c r="A190" s="8" t="inlineStr">
        <is>
          <t>CILP_0189</t>
        </is>
      </c>
      <c r="B190" s="8" t="inlineStr">
        <is>
          <t>Neonatal Sclerosing Cholangitis</t>
        </is>
      </c>
      <c r="C190" s="8" t="inlineStr">
        <is>
          <t>NSC</t>
        </is>
      </c>
      <c r="D190" s="8" t="inlineStr">
        <is>
          <t>617394</t>
        </is>
      </c>
      <c r="E190" s="8" t="inlineStr">
        <is>
          <t>OMIM:617394</t>
        </is>
      </c>
      <c r="F190" s="8" t="inlineStr">
        <is>
          <t>OMIM phenotype entry</t>
        </is>
      </c>
      <c r="G190" s="8" t="inlineStr">
        <is>
          <t>Secondary</t>
        </is>
      </c>
      <c r="H190" s="8" t="inlineStr">
        <is>
          <t>General / needs curation</t>
        </is>
      </c>
      <c r="I190" s="8" t="inlineStr">
        <is>
          <t>DCDC2</t>
        </is>
      </c>
      <c r="J190" s="8" t="inlineStr">
        <is>
          <t>AR</t>
        </is>
      </c>
      <c r="K190" s="8" t="inlineStr">
        <is>
          <t>Abdomen; Ears; Cardiovascular; Genitourinary; Immune system; Nervous system; Metabolism; Skin</t>
        </is>
      </c>
      <c r="L190" s="8" t="n">
        <v>20</v>
      </c>
      <c r="M190" s="8" t="inlineStr">
        <is>
          <t>HP:0001396; HP:0000076; HP:0000365; HP:0001256; HP:0001399; HP:0001541; HP:0030991; HP:0001394; HP:0002240; HP:0030948; HP:0012852; HP:0011985; HP:0034294; HP:0001409; HP:0006580; HP:0001408; HP:0000989; HP:0002613; HP:0000952; HP:0001744</t>
        </is>
      </c>
      <c r="N190" s="8" t="inlineStr">
        <is>
          <t>No</t>
        </is>
      </c>
      <c r="O190" s="8" t="inlineStr">
        <is>
          <t>Disease family with fewer than 5 entries</t>
        </is>
      </c>
      <c r="P190" s="8" t="n"/>
    </row>
    <row r="191">
      <c r="A191" s="8" t="inlineStr">
        <is>
          <t>CILP_0190</t>
        </is>
      </c>
      <c r="B191" s="8" t="inlineStr">
        <is>
          <t>Nephronophthisis</t>
        </is>
      </c>
      <c r="C191" s="8" t="inlineStr">
        <is>
          <t>NPHP1</t>
        </is>
      </c>
      <c r="D191" s="8" t="inlineStr">
        <is>
          <t>256100</t>
        </is>
      </c>
      <c r="E191" s="8" t="inlineStr">
        <is>
          <t>OMIM:256100</t>
        </is>
      </c>
      <c r="F191" s="8" t="inlineStr">
        <is>
          <t>OMIM phenotype entry</t>
        </is>
      </c>
      <c r="G191" s="8" t="inlineStr">
        <is>
          <t>Primary</t>
        </is>
      </c>
      <c r="H191" s="8" t="inlineStr">
        <is>
          <t>Renal-hepatic ciliopathy</t>
        </is>
      </c>
      <c r="I191" s="8" t="inlineStr">
        <is>
          <t>NPHP1</t>
        </is>
      </c>
      <c r="J191" s="8" t="inlineStr">
        <is>
          <t>AR</t>
        </is>
      </c>
      <c r="K191" s="8" t="inlineStr">
        <is>
          <t>Cardiovascular; Growth; Genitourinary; Nervous system; Metabolism</t>
        </is>
      </c>
      <c r="L191" s="8" t="n">
        <v>12</v>
      </c>
      <c r="M191" s="8" t="inlineStr">
        <is>
          <t>HP:0003158; HP:0003774; HP:0005576; HP:0005583; HP:0000090; HP:0000092; HP:0001959; HP:0001903; HP:0000822; HP:0000108; HP:0000103; HP:0001510</t>
        </is>
      </c>
      <c r="N191" s="8" t="inlineStr">
        <is>
          <t>Yes</t>
        </is>
      </c>
      <c r="O191" s="8" t="n"/>
      <c r="P191" s="8" t="n"/>
    </row>
    <row r="192">
      <c r="A192" s="8" t="inlineStr">
        <is>
          <t>CILP_0191</t>
        </is>
      </c>
      <c r="B192" s="8" t="inlineStr">
        <is>
          <t>Nephronophthisis</t>
        </is>
      </c>
      <c r="C192" s="8" t="inlineStr">
        <is>
          <t>NPHP2</t>
        </is>
      </c>
      <c r="D192" s="8" t="inlineStr">
        <is>
          <t>602088</t>
        </is>
      </c>
      <c r="E192" s="8" t="inlineStr">
        <is>
          <t>OMIM:602088</t>
        </is>
      </c>
      <c r="F192" s="8" t="inlineStr">
        <is>
          <t>OMIM phenotype entry</t>
        </is>
      </c>
      <c r="G192" s="8" t="inlineStr">
        <is>
          <t>Primary</t>
        </is>
      </c>
      <c r="H192" s="8" t="inlineStr">
        <is>
          <t>Renal-hepatic ciliopathy</t>
        </is>
      </c>
      <c r="I192" s="8" t="inlineStr">
        <is>
          <t>INVS</t>
        </is>
      </c>
      <c r="J192" s="8" t="inlineStr">
        <is>
          <t>AR</t>
        </is>
      </c>
      <c r="K192" s="8" t="inlineStr">
        <is>
          <t>Cardiovascular; Genitourinary; Metabolism; Respiratory</t>
        </is>
      </c>
      <c r="L192" s="8" t="n">
        <v>17</v>
      </c>
      <c r="M192" s="8" t="inlineStr">
        <is>
          <t>HP:0004743; HP:0001562; HP:0003774; HP:0002089; HP:0001696; HP:0005564; HP:0002153; HP:0000090; HP:0010444; HP:0002093; HP:0004719; HP:0000822; HP:0002878; HP:0003259; HP:0000105; HP:0004734; HP:0005976</t>
        </is>
      </c>
      <c r="N192" s="8" t="inlineStr">
        <is>
          <t>Yes</t>
        </is>
      </c>
      <c r="O192" s="8" t="n"/>
      <c r="P192" s="8" t="n"/>
    </row>
    <row r="193">
      <c r="A193" s="8" t="inlineStr">
        <is>
          <t>CILP_0192</t>
        </is>
      </c>
      <c r="B193" s="8" t="inlineStr">
        <is>
          <t>Nephronophthisis</t>
        </is>
      </c>
      <c r="C193" s="8" t="inlineStr">
        <is>
          <t>NPHP3</t>
        </is>
      </c>
      <c r="D193" s="8" t="inlineStr">
        <is>
          <t>604387</t>
        </is>
      </c>
      <c r="E193" s="8" t="inlineStr">
        <is>
          <t>OMIM:604387</t>
        </is>
      </c>
      <c r="F193" s="8" t="inlineStr">
        <is>
          <t>OMIM phenotype entry</t>
        </is>
      </c>
      <c r="G193" s="8" t="inlineStr">
        <is>
          <t>Primary</t>
        </is>
      </c>
      <c r="H193" s="8" t="inlineStr">
        <is>
          <t>Renal-hepatic ciliopathy</t>
        </is>
      </c>
      <c r="I193" s="8" t="inlineStr">
        <is>
          <t>NPHP3</t>
        </is>
      </c>
      <c r="J193" s="8" t="inlineStr">
        <is>
          <t>AR</t>
        </is>
      </c>
      <c r="K193" s="8" t="inlineStr">
        <is>
          <t>Abdomen; Growth; Genitourinary; Nervous system; Metabolism</t>
        </is>
      </c>
      <c r="L193" s="8" t="n">
        <v>14</v>
      </c>
      <c r="M193" s="8" t="inlineStr">
        <is>
          <t>HP:0003774; HP:0005576; HP:0000083; HP:0000790; HP:0001395; HP:0000090; HP:0000093; HP:0000092; HP:0001508; HP:0001959; HP:0000805; HP:0000108; HP:0000103; HP:0000105</t>
        </is>
      </c>
      <c r="N193" s="8" t="inlineStr">
        <is>
          <t>Yes</t>
        </is>
      </c>
      <c r="O193" s="8" t="n"/>
      <c r="P193" s="8" t="n"/>
    </row>
    <row r="194">
      <c r="A194" s="8" t="inlineStr">
        <is>
          <t>CILP_0193</t>
        </is>
      </c>
      <c r="B194" s="8" t="inlineStr">
        <is>
          <t>Nephronophthisis</t>
        </is>
      </c>
      <c r="C194" s="8" t="inlineStr">
        <is>
          <t>NPHP4</t>
        </is>
      </c>
      <c r="D194" s="8" t="inlineStr">
        <is>
          <t>606966</t>
        </is>
      </c>
      <c r="E194" s="8" t="inlineStr">
        <is>
          <t>OMIM:606966</t>
        </is>
      </c>
      <c r="F194" s="8" t="inlineStr">
        <is>
          <t>OMIM phenotype entry</t>
        </is>
      </c>
      <c r="G194" s="8" t="inlineStr">
        <is>
          <t>Primary</t>
        </is>
      </c>
      <c r="H194" s="8" t="inlineStr">
        <is>
          <t>Renal-hepatic ciliopathy</t>
        </is>
      </c>
      <c r="I194" s="8" t="inlineStr">
        <is>
          <t>NPHP4</t>
        </is>
      </c>
      <c r="J194" s="8" t="inlineStr">
        <is>
          <t>AR</t>
        </is>
      </c>
      <c r="K194" s="8" t="inlineStr">
        <is>
          <t>Growth; Genitourinary; Nervous system</t>
        </is>
      </c>
      <c r="L194" s="8" t="n">
        <v>9</v>
      </c>
      <c r="M194" s="8" t="inlineStr">
        <is>
          <t>HP:0003774; HP:0005576; HP:0001959; HP:0001903; HP:0000090; HP:0000108; HP:0000092; HP:0000103; HP:0001510</t>
        </is>
      </c>
      <c r="N194" s="8" t="inlineStr">
        <is>
          <t>Yes</t>
        </is>
      </c>
      <c r="O194" s="8" t="n"/>
      <c r="P194" s="8" t="n"/>
    </row>
    <row r="195">
      <c r="A195" s="8" t="inlineStr">
        <is>
          <t>CILP_0194</t>
        </is>
      </c>
      <c r="B195" s="8" t="inlineStr">
        <is>
          <t>Nephronophthisis</t>
        </is>
      </c>
      <c r="C195" s="8" t="inlineStr">
        <is>
          <t>NPHP7</t>
        </is>
      </c>
      <c r="D195" s="8" t="inlineStr">
        <is>
          <t>611498</t>
        </is>
      </c>
      <c r="E195" s="8" t="inlineStr">
        <is>
          <t>OMIM:611498</t>
        </is>
      </c>
      <c r="F195" s="8" t="inlineStr">
        <is>
          <t>OMIM phenotype entry</t>
        </is>
      </c>
      <c r="G195" s="8" t="inlineStr">
        <is>
          <t>Primary</t>
        </is>
      </c>
      <c r="H195" s="8" t="inlineStr">
        <is>
          <t>Renal-hepatic ciliopathy</t>
        </is>
      </c>
      <c r="I195" s="8" t="inlineStr">
        <is>
          <t>GLIS2</t>
        </is>
      </c>
      <c r="J195" s="8" t="inlineStr">
        <is>
          <t>AR</t>
        </is>
      </c>
      <c r="K195" s="8" t="inlineStr">
        <is>
          <t>Genitourinary</t>
        </is>
      </c>
      <c r="L195" s="8" t="n">
        <v>3</v>
      </c>
      <c r="M195" s="8" t="inlineStr">
        <is>
          <t>HP:0003774; HP:0000090; HP:0000092</t>
        </is>
      </c>
      <c r="N195" s="8" t="inlineStr">
        <is>
          <t>Yes</t>
        </is>
      </c>
      <c r="O195" s="8" t="n"/>
      <c r="P195" s="8" t="n"/>
    </row>
    <row r="196">
      <c r="A196" s="8" t="inlineStr">
        <is>
          <t>CILP_0195</t>
        </is>
      </c>
      <c r="B196" s="8" t="inlineStr">
        <is>
          <t>Nephronophthisis</t>
        </is>
      </c>
      <c r="C196" s="8" t="inlineStr">
        <is>
          <t>NPHPL1</t>
        </is>
      </c>
      <c r="D196" s="8" t="inlineStr">
        <is>
          <t>613159</t>
        </is>
      </c>
      <c r="E196" s="8" t="inlineStr">
        <is>
          <t>OMIM:613159</t>
        </is>
      </c>
      <c r="F196" s="8" t="inlineStr">
        <is>
          <t>OMIM phenotype entry</t>
        </is>
      </c>
      <c r="G196" s="8" t="inlineStr">
        <is>
          <t>Primary</t>
        </is>
      </c>
      <c r="H196" s="8" t="inlineStr">
        <is>
          <t>Renal-hepatic ciliopathy</t>
        </is>
      </c>
      <c r="I196" s="8" t="inlineStr">
        <is>
          <t>XPNPEP3</t>
        </is>
      </c>
      <c r="J196" s="8" t="inlineStr">
        <is>
          <t>AR</t>
        </is>
      </c>
      <c r="K196" s="8" t="inlineStr">
        <is>
          <t>Abdomen; Ears; Cardiovascular; Genitourinary; Immune system; Nervous system</t>
        </is>
      </c>
      <c r="L196" s="8" t="n">
        <v>14</v>
      </c>
      <c r="M196" s="8" t="inlineStr">
        <is>
          <t>HP:0003774; HP:0001250; HP:0005583; HP:0000090; HP:0000092; HP:0006280; HP:0000407; HP:0100702; HP:0004719; HP:0000822; HP:0030186; HP:0001737; HP:0000108; HP:0001249</t>
        </is>
      </c>
      <c r="N196" s="8" t="inlineStr">
        <is>
          <t>Yes</t>
        </is>
      </c>
      <c r="O196" s="8" t="n"/>
      <c r="P196" s="8" t="n"/>
    </row>
    <row r="197">
      <c r="A197" s="8" t="inlineStr">
        <is>
          <t>CILP_0196</t>
        </is>
      </c>
      <c r="B197" s="8" t="inlineStr">
        <is>
          <t>Nephronophthisis</t>
        </is>
      </c>
      <c r="C197" s="8" t="inlineStr">
        <is>
          <t>NPHP11</t>
        </is>
      </c>
      <c r="D197" s="8" t="inlineStr">
        <is>
          <t>613550</t>
        </is>
      </c>
      <c r="E197" s="8" t="inlineStr">
        <is>
          <t>OMIM:613550</t>
        </is>
      </c>
      <c r="F197" s="8" t="inlineStr">
        <is>
          <t>OMIM phenotype entry</t>
        </is>
      </c>
      <c r="G197" s="8" t="inlineStr">
        <is>
          <t>Primary</t>
        </is>
      </c>
      <c r="H197" s="8" t="inlineStr">
        <is>
          <t>Renal-hepatic ciliopathy</t>
        </is>
      </c>
      <c r="I197" s="8" t="inlineStr">
        <is>
          <t>TMEM67</t>
        </is>
      </c>
      <c r="J197" s="8" t="inlineStr">
        <is>
          <t>AR</t>
        </is>
      </c>
      <c r="K197" s="8" t="inlineStr">
        <is>
          <t>Abdomen; Eyes; Growth; Genitourinary; Nervous system</t>
        </is>
      </c>
      <c r="L197" s="8" t="n">
        <v>15</v>
      </c>
      <c r="M197" s="8" t="inlineStr">
        <is>
          <t>HP:0003774; HP:0000486; HP:0009916; HP:0001395; HP:0001263; HP:0005583; HP:0000090; HP:0000092; HP:0001959; HP:0000639; HP:0001903; HP:0000546; HP:0000108; HP:0000103; HP:0001510</t>
        </is>
      </c>
      <c r="N197" s="8" t="inlineStr">
        <is>
          <t>Yes</t>
        </is>
      </c>
      <c r="O197" s="8" t="n"/>
      <c r="P197" s="8" t="n"/>
    </row>
    <row r="198">
      <c r="A198" s="8" t="inlineStr">
        <is>
          <t>CILP_0197</t>
        </is>
      </c>
      <c r="B198" s="8" t="inlineStr">
        <is>
          <t>Nephronophthisis</t>
        </is>
      </c>
      <c r="C198" s="8" t="inlineStr">
        <is>
          <t>NPHP12</t>
        </is>
      </c>
      <c r="D198" s="8" t="inlineStr">
        <is>
          <t>613820</t>
        </is>
      </c>
      <c r="E198" s="8" t="inlineStr">
        <is>
          <t>OMIM:613820</t>
        </is>
      </c>
      <c r="F198" s="8" t="inlineStr">
        <is>
          <t>OMIM phenotype entry</t>
        </is>
      </c>
      <c r="G198" s="8" t="inlineStr">
        <is>
          <t>Primary</t>
        </is>
      </c>
      <c r="H198" s="8" t="inlineStr">
        <is>
          <t>Renal-hepatic ciliopathy</t>
        </is>
      </c>
      <c r="I198" s="8" t="inlineStr">
        <is>
          <t>TTC21B</t>
        </is>
      </c>
      <c r="J198" s="8" t="inlineStr">
        <is>
          <t>AR; AD</t>
        </is>
      </c>
      <c r="K198" s="8" t="inlineStr">
        <is>
          <t>Genitourinary</t>
        </is>
      </c>
      <c r="L198" s="8" t="n">
        <v>2</v>
      </c>
      <c r="M198" s="8" t="inlineStr">
        <is>
          <t>HP:0003774; HP:0000090</t>
        </is>
      </c>
      <c r="N198" s="8" t="inlineStr">
        <is>
          <t>Yes</t>
        </is>
      </c>
      <c r="O198" s="8" t="n"/>
      <c r="P198" s="8" t="inlineStr">
        <is>
          <t>Same OMIM entry also curated under Joubert Syndrome (CILP_0111)</t>
        </is>
      </c>
    </row>
    <row r="199">
      <c r="A199" s="8" t="inlineStr">
        <is>
          <t>CILP_0198</t>
        </is>
      </c>
      <c r="B199" s="8" t="inlineStr">
        <is>
          <t>Nephronophthisis</t>
        </is>
      </c>
      <c r="C199" s="8" t="inlineStr">
        <is>
          <t>NPHP9</t>
        </is>
      </c>
      <c r="D199" s="8" t="inlineStr">
        <is>
          <t>613824</t>
        </is>
      </c>
      <c r="E199" s="8" t="inlineStr">
        <is>
          <t>OMIM:613824</t>
        </is>
      </c>
      <c r="F199" s="8" t="inlineStr">
        <is>
          <t>OMIM phenotype entry</t>
        </is>
      </c>
      <c r="G199" s="8" t="inlineStr">
        <is>
          <t>Primary</t>
        </is>
      </c>
      <c r="H199" s="8" t="inlineStr">
        <is>
          <t>Renal-hepatic ciliopathy</t>
        </is>
      </c>
      <c r="I199" s="8" t="inlineStr">
        <is>
          <t>NEK8</t>
        </is>
      </c>
      <c r="J199" s="8" t="inlineStr">
        <is>
          <t>AR</t>
        </is>
      </c>
      <c r="K199" s="8" t="inlineStr">
        <is>
          <t>Eyes; Growth; Genitourinary; Nervous system</t>
        </is>
      </c>
      <c r="L199" s="8" t="n">
        <v>8</v>
      </c>
      <c r="M199" s="8" t="inlineStr">
        <is>
          <t>HP:0003774; HP:0001959; HP:0001903; HP:0000090; HP:0000546; HP:0008897; HP:0000103; HP:0004734</t>
        </is>
      </c>
      <c r="N199" s="8" t="inlineStr">
        <is>
          <t>Yes</t>
        </is>
      </c>
      <c r="O199" s="8" t="n"/>
      <c r="P199" s="8" t="n"/>
    </row>
    <row r="200">
      <c r="A200" s="8" t="inlineStr">
        <is>
          <t>CILP_0199</t>
        </is>
      </c>
      <c r="B200" s="8" t="inlineStr">
        <is>
          <t>Nephronophthisis</t>
        </is>
      </c>
      <c r="C200" s="8" t="inlineStr">
        <is>
          <t>NPHP13</t>
        </is>
      </c>
      <c r="D200" s="8" t="inlineStr">
        <is>
          <t>614377</t>
        </is>
      </c>
      <c r="E200" s="8" t="inlineStr">
        <is>
          <t>OMIM:614377</t>
        </is>
      </c>
      <c r="F200" s="8" t="inlineStr">
        <is>
          <t>OMIM phenotype entry</t>
        </is>
      </c>
      <c r="G200" s="8" t="inlineStr">
        <is>
          <t>Primary</t>
        </is>
      </c>
      <c r="H200" s="8" t="inlineStr">
        <is>
          <t>Renal-hepatic ciliopathy</t>
        </is>
      </c>
      <c r="I200" s="8" t="inlineStr">
        <is>
          <t>WDR19</t>
        </is>
      </c>
      <c r="J200" s="8" t="inlineStr">
        <is>
          <t>AR</t>
        </is>
      </c>
      <c r="K200" s="8" t="inlineStr">
        <is>
          <t>Abdomen; Growth; Genitourinary; Metabolism</t>
        </is>
      </c>
      <c r="L200" s="8" t="n">
        <v>14</v>
      </c>
      <c r="M200" s="8" t="inlineStr">
        <is>
          <t>HP:0003774; HP:0000089; HP:0032948; HP:0000096; HP:0000090; HP:0033149; HP:0000093; HP:0033601; HP:0033867; HP:0012595; HP:0001407; HP:0001737; HP:0004737; HP:0001510</t>
        </is>
      </c>
      <c r="N200" s="8" t="inlineStr">
        <is>
          <t>Yes</t>
        </is>
      </c>
      <c r="O200" s="8" t="n"/>
      <c r="P200" s="8" t="n"/>
    </row>
    <row r="201">
      <c r="A201" s="8" t="inlineStr">
        <is>
          <t>CILP_0200</t>
        </is>
      </c>
      <c r="B201" s="8" t="inlineStr">
        <is>
          <t>Nephronophthisis</t>
        </is>
      </c>
      <c r="C201" s="8" t="inlineStr">
        <is>
          <t>NPHP14</t>
        </is>
      </c>
      <c r="D201" s="8" t="inlineStr">
        <is>
          <t>614844</t>
        </is>
      </c>
      <c r="E201" s="8" t="inlineStr">
        <is>
          <t>OMIM:614844</t>
        </is>
      </c>
      <c r="F201" s="8" t="inlineStr">
        <is>
          <t>OMIM phenotype entry</t>
        </is>
      </c>
      <c r="G201" s="8" t="inlineStr">
        <is>
          <t>Primary</t>
        </is>
      </c>
      <c r="H201" s="8" t="inlineStr">
        <is>
          <t>Renal-hepatic ciliopathy</t>
        </is>
      </c>
      <c r="I201" s="8" t="inlineStr">
        <is>
          <t>ZNF423</t>
        </is>
      </c>
      <c r="J201" s="8" t="inlineStr">
        <is>
          <t>AR; AD</t>
        </is>
      </c>
      <c r="K201" s="8" t="inlineStr">
        <is>
          <t>Eyes; Cardiovascular; Genitourinary; Nervous system</t>
        </is>
      </c>
      <c r="L201" s="8" t="n">
        <v>5</v>
      </c>
      <c r="M201" s="8" t="inlineStr">
        <is>
          <t>HP:0001320; HP:0001696; HP:0000090; HP:0000546; HP:0000113</t>
        </is>
      </c>
      <c r="N201" s="8" t="inlineStr">
        <is>
          <t>Yes</t>
        </is>
      </c>
      <c r="O201" s="8" t="n"/>
      <c r="P201" s="8" t="inlineStr">
        <is>
          <t>Same OMIM entry also curated under Joubert Syndrome (CILP_0119)</t>
        </is>
      </c>
    </row>
    <row r="202">
      <c r="A202" s="8" t="inlineStr">
        <is>
          <t>CILP_0201</t>
        </is>
      </c>
      <c r="B202" s="8" t="inlineStr">
        <is>
          <t>Nephronophthisis</t>
        </is>
      </c>
      <c r="C202" s="8" t="inlineStr">
        <is>
          <t>NPHP15</t>
        </is>
      </c>
      <c r="D202" s="8" t="inlineStr">
        <is>
          <t>614845</t>
        </is>
      </c>
      <c r="E202" s="8" t="inlineStr">
        <is>
          <t>OMIM:614845</t>
        </is>
      </c>
      <c r="F202" s="8" t="inlineStr">
        <is>
          <t>OMIM phenotype entry</t>
        </is>
      </c>
      <c r="G202" s="8" t="inlineStr">
        <is>
          <t>Primary</t>
        </is>
      </c>
      <c r="H202" s="8" t="inlineStr">
        <is>
          <t>Renal-hepatic ciliopathy</t>
        </is>
      </c>
      <c r="I202" s="8" t="inlineStr">
        <is>
          <t>CEP164</t>
        </is>
      </c>
      <c r="J202" s="8" t="inlineStr">
        <is>
          <t>AR</t>
        </is>
      </c>
      <c r="K202" s="8" t="inlineStr">
        <is>
          <t>Eyes; Growth; Genitourinary; Limbs; Nervous system; Metabolism; Skeletal</t>
        </is>
      </c>
      <c r="L202" s="8" t="n">
        <v>10</v>
      </c>
      <c r="M202" s="8" t="inlineStr">
        <is>
          <t>HP:0001320; HP:0000639; HP:0001250; HP:0001263; HP:0000618; HP:0000090; HP:0000546; HP:0010442; HP:0002910; HP:0001513</t>
        </is>
      </c>
      <c r="N202" s="8" t="inlineStr">
        <is>
          <t>Yes</t>
        </is>
      </c>
      <c r="O202" s="8" t="n"/>
      <c r="P202" s="8" t="n"/>
    </row>
    <row r="203">
      <c r="A203" s="8" t="inlineStr">
        <is>
          <t>CILP_0202</t>
        </is>
      </c>
      <c r="B203" s="8" t="inlineStr">
        <is>
          <t>Nephronophthisis</t>
        </is>
      </c>
      <c r="C203" s="8" t="inlineStr">
        <is>
          <t>NPHP16</t>
        </is>
      </c>
      <c r="D203" s="8" t="inlineStr">
        <is>
          <t>615382</t>
        </is>
      </c>
      <c r="E203" s="8" t="inlineStr">
        <is>
          <t>OMIM:615382</t>
        </is>
      </c>
      <c r="F203" s="8" t="inlineStr">
        <is>
          <t>OMIM phenotype entry</t>
        </is>
      </c>
      <c r="G203" s="8" t="inlineStr">
        <is>
          <t>Primary</t>
        </is>
      </c>
      <c r="H203" s="8" t="inlineStr">
        <is>
          <t>Renal-hepatic ciliopathy</t>
        </is>
      </c>
      <c r="I203" s="8" t="inlineStr">
        <is>
          <t>ANKS6</t>
        </is>
      </c>
      <c r="J203" s="8" t="inlineStr">
        <is>
          <t>AR</t>
        </is>
      </c>
      <c r="K203" s="8" t="inlineStr">
        <is>
          <t>Abdomen; Cardiovascular; Genitourinary</t>
        </is>
      </c>
      <c r="L203" s="8" t="n">
        <v>12</v>
      </c>
      <c r="M203" s="8" t="inlineStr">
        <is>
          <t>HP:0001650; HP:0003774; HP:0001396; HP:0001696; HP:0000083; HP:0000090; HP:0001639; HP:0001405; HP:0001643; HP:0000113; HP:0001642; HP:0000105</t>
        </is>
      </c>
      <c r="N203" s="8" t="inlineStr">
        <is>
          <t>Yes</t>
        </is>
      </c>
      <c r="O203" s="8" t="n"/>
      <c r="P203" s="8" t="n"/>
    </row>
    <row r="204">
      <c r="A204" s="8" t="inlineStr">
        <is>
          <t>CILP_0203</t>
        </is>
      </c>
      <c r="B204" s="8" t="inlineStr">
        <is>
          <t>Nephronophthisis</t>
        </is>
      </c>
      <c r="C204" s="8" t="inlineStr">
        <is>
          <t>NPHP18</t>
        </is>
      </c>
      <c r="D204" s="8" t="inlineStr">
        <is>
          <t>615862</t>
        </is>
      </c>
      <c r="E204" s="8" t="inlineStr">
        <is>
          <t>OMIM:615862</t>
        </is>
      </c>
      <c r="F204" s="8" t="inlineStr">
        <is>
          <t>OMIM phenotype entry</t>
        </is>
      </c>
      <c r="G204" s="8" t="inlineStr">
        <is>
          <t>Primary</t>
        </is>
      </c>
      <c r="H204" s="8" t="inlineStr">
        <is>
          <t>Renal-hepatic ciliopathy</t>
        </is>
      </c>
      <c r="I204" s="8" t="inlineStr">
        <is>
          <t>CEP83</t>
        </is>
      </c>
      <c r="J204" s="8" t="inlineStr">
        <is>
          <t>AR</t>
        </is>
      </c>
      <c r="K204" s="8" t="inlineStr">
        <is>
          <t>Abdomen; Eyes; Cardiovascular; Genitourinary; Nervous system</t>
        </is>
      </c>
      <c r="L204" s="8" t="n">
        <v>12</v>
      </c>
      <c r="M204" s="8" t="inlineStr">
        <is>
          <t>HP:0003774; HP:0001396; HP:0000486; HP:0001970; HP:0000090; HP:0000092; HP:0032118; HP:0006580; HP:0000822; HP:0000238; HP:0001249; HP:0004722</t>
        </is>
      </c>
      <c r="N204" s="8" t="inlineStr">
        <is>
          <t>Yes</t>
        </is>
      </c>
      <c r="O204" s="8" t="n"/>
      <c r="P204" s="8" t="n"/>
    </row>
    <row r="205">
      <c r="A205" s="8" t="inlineStr">
        <is>
          <t>CILP_0204</t>
        </is>
      </c>
      <c r="B205" s="8" t="inlineStr">
        <is>
          <t>Nephronophthisis</t>
        </is>
      </c>
      <c r="C205" s="8" t="inlineStr">
        <is>
          <t>NPHP19</t>
        </is>
      </c>
      <c r="D205" s="8" t="inlineStr">
        <is>
          <t>616217</t>
        </is>
      </c>
      <c r="E205" s="8" t="inlineStr">
        <is>
          <t>OMIM:616217</t>
        </is>
      </c>
      <c r="F205" s="8" t="inlineStr">
        <is>
          <t>OMIM phenotype entry</t>
        </is>
      </c>
      <c r="G205" s="8" t="inlineStr">
        <is>
          <t>Primary</t>
        </is>
      </c>
      <c r="H205" s="8" t="inlineStr">
        <is>
          <t>Renal-hepatic ciliopathy</t>
        </is>
      </c>
      <c r="I205" s="8" t="inlineStr">
        <is>
          <t>DCDC2</t>
        </is>
      </c>
      <c r="J205" s="8" t="inlineStr">
        <is>
          <t>AR</t>
        </is>
      </c>
      <c r="K205" s="8" t="inlineStr">
        <is>
          <t>Abdomen; Cardiovascular; Genitourinary; Immune system</t>
        </is>
      </c>
      <c r="L205" s="8" t="n">
        <v>10</v>
      </c>
      <c r="M205" s="8" t="inlineStr">
        <is>
          <t>HP:0003774; HP:0001396; HP:0032948; HP:0001408; HP:0001395; HP:0002240; HP:0004719; HP:0000090; HP:0006563; HP:0001744</t>
        </is>
      </c>
      <c r="N205" s="8" t="inlineStr">
        <is>
          <t>Yes</t>
        </is>
      </c>
      <c r="O205" s="8" t="n"/>
      <c r="P205" s="8" t="n"/>
    </row>
    <row r="206">
      <c r="A206" s="8" t="inlineStr">
        <is>
          <t>CILP_0205</t>
        </is>
      </c>
      <c r="B206" s="8" t="inlineStr">
        <is>
          <t>Nephronophthisis</t>
        </is>
      </c>
      <c r="C206" s="8" t="inlineStr">
        <is>
          <t>NPHP20</t>
        </is>
      </c>
      <c r="D206" s="8" t="inlineStr">
        <is>
          <t>617271</t>
        </is>
      </c>
      <c r="E206" s="8" t="inlineStr">
        <is>
          <t>OMIM:617271</t>
        </is>
      </c>
      <c r="F206" s="8" t="inlineStr">
        <is>
          <t>OMIM phenotype entry</t>
        </is>
      </c>
      <c r="G206" s="8" t="inlineStr">
        <is>
          <t>Primary</t>
        </is>
      </c>
      <c r="H206" s="8" t="inlineStr">
        <is>
          <t>Renal-hepatic ciliopathy</t>
        </is>
      </c>
      <c r="I206" s="8" t="inlineStr">
        <is>
          <t>MAPKBP1</t>
        </is>
      </c>
      <c r="J206" s="8" t="inlineStr">
        <is>
          <t>AR</t>
        </is>
      </c>
      <c r="K206" s="8" t="inlineStr">
        <is>
          <t>Genitourinary; Skeletal</t>
        </is>
      </c>
      <c r="L206" s="8" t="n">
        <v>6</v>
      </c>
      <c r="M206" s="8" t="inlineStr">
        <is>
          <t>HP:0003774; HP:0000076; HP:0002650; HP:0000083; HP:0000107; HP:0000090</t>
        </is>
      </c>
      <c r="N206" s="8" t="inlineStr">
        <is>
          <t>Yes</t>
        </is>
      </c>
      <c r="O206" s="8" t="n"/>
      <c r="P206" s="8" t="n"/>
    </row>
    <row r="207">
      <c r="A207" s="8" t="inlineStr">
        <is>
          <t>CILP_0206</t>
        </is>
      </c>
      <c r="B207" s="8" t="inlineStr">
        <is>
          <t>Nephronophthisis</t>
        </is>
      </c>
      <c r="C207" s="8" t="inlineStr">
        <is>
          <t>NPHP</t>
        </is>
      </c>
      <c r="D207" s="8" t="n"/>
      <c r="E207" s="8" t="inlineStr">
        <is>
          <t>ORPHA:655</t>
        </is>
      </c>
      <c r="F207" s="8" t="inlineStr">
        <is>
          <t>Orphanet entry (matched by disease name)</t>
        </is>
      </c>
      <c r="G207" s="8" t="inlineStr">
        <is>
          <t>Primary</t>
        </is>
      </c>
      <c r="H207" s="8" t="inlineStr">
        <is>
          <t>Renal-hepatic ciliopathy</t>
        </is>
      </c>
      <c r="I207" s="8" t="inlineStr">
        <is>
          <t>ADAMTS9; CC2D2A; CEP290; SDCCAG8</t>
        </is>
      </c>
      <c r="J207" s="8" t="inlineStr">
        <is>
          <t>Autosomal recessive</t>
        </is>
      </c>
      <c r="K207" s="8" t="inlineStr">
        <is>
          <t>Eyes; Genitourinary</t>
        </is>
      </c>
      <c r="L207" s="8" t="n">
        <v>3</v>
      </c>
      <c r="M207" s="8" t="inlineStr">
        <is>
          <t>HP:0000083; HP:0001903; HP:0007703</t>
        </is>
      </c>
      <c r="N207" s="8" t="inlineStr">
        <is>
          <t>Yes</t>
        </is>
      </c>
      <c r="O207" s="8" t="n"/>
      <c r="P207" s="8" t="n"/>
    </row>
    <row r="208">
      <c r="A208" s="8" t="inlineStr">
        <is>
          <t>CILP_0207</t>
        </is>
      </c>
      <c r="B208" s="8" t="inlineStr">
        <is>
          <t>Orofaciodigital Syndrome</t>
        </is>
      </c>
      <c r="C208" s="8" t="inlineStr">
        <is>
          <t>OFD5</t>
        </is>
      </c>
      <c r="D208" s="8" t="inlineStr">
        <is>
          <t>174300</t>
        </is>
      </c>
      <c r="E208" s="8" t="inlineStr">
        <is>
          <t>OMIM:174300</t>
        </is>
      </c>
      <c r="F208" s="8" t="inlineStr">
        <is>
          <t>OMIM phenotype entry</t>
        </is>
      </c>
      <c r="G208" s="8" t="inlineStr">
        <is>
          <t>Primary</t>
        </is>
      </c>
      <c r="H208" s="8" t="inlineStr">
        <is>
          <t>Multisystem ciliopathy</t>
        </is>
      </c>
      <c r="I208" s="8" t="inlineStr">
        <is>
          <t>DDX59</t>
        </is>
      </c>
      <c r="J208" s="8" t="inlineStr">
        <is>
          <t>AR</t>
        </is>
      </c>
      <c r="K208" s="8" t="inlineStr">
        <is>
          <t>Abdomen; Eyes; Ears; Cardiovascular; Genitourinary; Immune system; Head and neck; Limbs; Nervous system; Respiratory; Skeletal; Skin</t>
        </is>
      </c>
      <c r="L208" s="8" t="n">
        <v>46</v>
      </c>
      <c r="M208" s="8" t="inlineStr">
        <is>
          <t>HP:0000365; HP:0001212; HP:0000161; HP:0001274; HP:0000085; HP:0012725; HP:0000180; HP:0012741; HP:0001629; HP:0010297; HP:0010296; HP:0000316; HP:0020045; HP:0000219; HP:0000218; HP:0007687; HP:0004736; HP:0001249; HP:0000175; HP:0000494; HP:0000252; HP:0002650; HP:0000574; HP:0011968; HP:0002197; HP:0001162; HP:0000193; HP:0001263; HP:0002251; HP:0025190; HP:0011802; HP:0100025; HP:0100259; HP:0000668; HP:0001636; HP:0000689; HP:0004209; HP:0007236; HP:0002007; HP:0001830; HP:0002205; HP:0001852; HP:0000369; HP:0000303; HP:0000324; HP:0000588</t>
        </is>
      </c>
      <c r="N208" s="8" t="inlineStr">
        <is>
          <t>Yes</t>
        </is>
      </c>
      <c r="O208" s="8" t="n"/>
      <c r="P208" s="8" t="n"/>
    </row>
    <row r="209">
      <c r="A209" s="8" t="inlineStr">
        <is>
          <t>CILP_0208</t>
        </is>
      </c>
      <c r="B209" s="8" t="inlineStr">
        <is>
          <t>Orofaciodigital Syndrome</t>
        </is>
      </c>
      <c r="C209" s="8" t="inlineStr">
        <is>
          <t>OFD4</t>
        </is>
      </c>
      <c r="D209" s="8" t="inlineStr">
        <is>
          <t>258860</t>
        </is>
      </c>
      <c r="E209" s="8" t="inlineStr">
        <is>
          <t>OMIM:258860</t>
        </is>
      </c>
      <c r="F209" s="8" t="inlineStr">
        <is>
          <t>OMIM phenotype entry</t>
        </is>
      </c>
      <c r="G209" s="8" t="inlineStr">
        <is>
          <t>Primary</t>
        </is>
      </c>
      <c r="H209" s="8" t="inlineStr">
        <is>
          <t>Multisystem ciliopathy</t>
        </is>
      </c>
      <c r="I209" s="8" t="inlineStr">
        <is>
          <t>TCTN3</t>
        </is>
      </c>
      <c r="J209" s="8" t="inlineStr">
        <is>
          <t>AR</t>
        </is>
      </c>
      <c r="K209" s="8" t="inlineStr">
        <is>
          <t>Abdomen; Eyes; Ears; Growth; Head and neck; Limbs; Nervous system; Skeletal</t>
        </is>
      </c>
      <c r="L209" s="8" t="n">
        <v>22</v>
      </c>
      <c r="M209" s="8" t="inlineStr">
        <is>
          <t>HP:0000286; HP:0000175; HP:0001770; HP:0002059; HP:0000199; HP:0004322; HP:0001156; HP:0002132; HP:0001161; HP:0000180; HP:0000191; HP:0011802; HP:0100259; HP:0009381; HP:0001829; HP:0000316; HP:0000767; HP:0000218; HP:0030084; HP:0005736; HP:0000347; HP:0000369</t>
        </is>
      </c>
      <c r="N209" s="8" t="inlineStr">
        <is>
          <t>Yes</t>
        </is>
      </c>
      <c r="O209" s="8" t="n"/>
      <c r="P209" s="8" t="n"/>
    </row>
    <row r="210">
      <c r="A210" s="8" t="inlineStr">
        <is>
          <t>CILP_0209</t>
        </is>
      </c>
      <c r="B210" s="8" t="inlineStr">
        <is>
          <t>Orofaciodigital Syndrome</t>
        </is>
      </c>
      <c r="C210" s="8" t="inlineStr">
        <is>
          <t>OFD6</t>
        </is>
      </c>
      <c r="D210" s="8" t="inlineStr">
        <is>
          <t>277170</t>
        </is>
      </c>
      <c r="E210" s="8" t="inlineStr">
        <is>
          <t>OMIM:277170</t>
        </is>
      </c>
      <c r="F210" s="8" t="inlineStr">
        <is>
          <t>OMIM phenotype entry</t>
        </is>
      </c>
      <c r="G210" s="8" t="inlineStr">
        <is>
          <t>Primary</t>
        </is>
      </c>
      <c r="H210" s="8" t="inlineStr">
        <is>
          <t>Multisystem ciliopathy</t>
        </is>
      </c>
      <c r="I210" s="8" t="inlineStr">
        <is>
          <t>CPLANE1</t>
        </is>
      </c>
      <c r="J210" s="8" t="inlineStr">
        <is>
          <t>AR</t>
        </is>
      </c>
      <c r="K210" s="8" t="inlineStr">
        <is>
          <t>Abdomen; Eyes; Ears; Cardiovascular; Growth; Genitourinary; Head and neck; Limbs; Nervous system; Skeletal</t>
        </is>
      </c>
      <c r="L210" s="8" t="n">
        <v>52</v>
      </c>
      <c r="M210" s="8" t="inlineStr">
        <is>
          <t>HP:0002982; HP:0001177; HP:0000286; HP:0001770; HP:0004322; HP:0001252; HP:0001290; HP:0000639; HP:0011340; HP:0000316; HP:0009466; HP:0002419; HP:0000878; HP:0001841; HP:0006159; HP:0002139; HP:0000358; HP:0001249; HP:0000175; HP:0002990; HP:0001263; HP:0011802; HP:0100259; HP:0006145; HP:0000405; HP:0000565; HP:0000369; HP:0000204; HP:0002444; HP:0001156; HP:0003097; HP:0001274; HP:0004383; HP:0000180; HP:0002280; HP:0001508; HP:0100702; HP:0000218; HP:0030084; HP:0002436; HP:0000455; HP:0000110; HP:0001320; HP:0000199; HP:0001162; HP:0002132; HP:0001680; HP:0032388; HP:0000191; HP:0002126; HP:0000347; HP:0000104</t>
        </is>
      </c>
      <c r="N210" s="8" t="inlineStr">
        <is>
          <t>Yes</t>
        </is>
      </c>
      <c r="O210" s="8" t="n"/>
      <c r="P210" s="8" t="n"/>
    </row>
    <row r="211">
      <c r="A211" s="8" t="inlineStr">
        <is>
          <t>CILP_0210</t>
        </is>
      </c>
      <c r="B211" s="8" t="inlineStr">
        <is>
          <t>Orofaciodigital Syndrome</t>
        </is>
      </c>
      <c r="C211" s="8" t="inlineStr">
        <is>
          <t>OFD1</t>
        </is>
      </c>
      <c r="D211" s="8" t="inlineStr">
        <is>
          <t>311200</t>
        </is>
      </c>
      <c r="E211" s="8" t="inlineStr">
        <is>
          <t>OMIM:311200</t>
        </is>
      </c>
      <c r="F211" s="8" t="inlineStr">
        <is>
          <t>OMIM phenotype entry</t>
        </is>
      </c>
      <c r="G211" s="8" t="inlineStr">
        <is>
          <t>Primary</t>
        </is>
      </c>
      <c r="H211" s="8" t="inlineStr">
        <is>
          <t>Multisystem ciliopathy</t>
        </is>
      </c>
      <c r="I211" s="8" t="inlineStr">
        <is>
          <t>OFD1</t>
        </is>
      </c>
      <c r="J211" s="8" t="inlineStr">
        <is>
          <t>XLD</t>
        </is>
      </c>
      <c r="K211" s="8" t="inlineStr">
        <is>
          <t>Abdomen; Eyes; Ears; Cardiovascular; Growth; Genitourinary; Head and neck; Limbs; Nervous system; Metabolism; Skeletal; Skin</t>
        </is>
      </c>
      <c r="L211" s="8" t="n">
        <v>59</v>
      </c>
      <c r="M211" s="8" t="inlineStr">
        <is>
          <t>HP:0000286; HP:0001056; HP:0000365; HP:0004322; HP:0000161; HP:0001250; HP:0010442; HP:0010297; HP:0010296; HP:0000316; HP:0000238; HP:0009466; HP:0002617; HP:0001407; HP:0001885; HP:0002536; HP:0000113; HP:0001249; HP:0000175; HP:0000494; HP:0000252; HP:0002475; HP:0002350; HP:0000093; HP:0011802; HP:0001737; HP:0000369; HP:0000204; HP:0006349; HP:0000324; HP:0002444; HP:0001596; HP:0001156; HP:0001274; HP:0001395; HP:0002282; HP:0000180; HP:0008070; HP:0011359; HP:0009085; HP:0100702; HP:0006297; HP:0001627; HP:0030084; HP:0000218; HP:0000138; HP:0000670; HP:0002059; HP:0000431; HP:0000199; HP:0000430; HP:0002132; HP:0011069; HP:0000308; HP:0000506; HP:0000822; HP:0002007; HP:0001159; HP:0000268</t>
        </is>
      </c>
      <c r="N211" s="8" t="inlineStr">
        <is>
          <t>Yes</t>
        </is>
      </c>
      <c r="O211" s="8" t="n"/>
      <c r="P211" s="8" t="n"/>
    </row>
    <row r="212">
      <c r="A212" s="8" t="inlineStr">
        <is>
          <t>CILP_0211</t>
        </is>
      </c>
      <c r="B212" s="8" t="inlineStr">
        <is>
          <t>Orofaciodigital Syndrome</t>
        </is>
      </c>
      <c r="C212" s="8" t="inlineStr">
        <is>
          <t>OFD14</t>
        </is>
      </c>
      <c r="D212" s="8" t="inlineStr">
        <is>
          <t>615948</t>
        </is>
      </c>
      <c r="E212" s="8" t="inlineStr">
        <is>
          <t>OMIM:615948</t>
        </is>
      </c>
      <c r="F212" s="8" t="inlineStr">
        <is>
          <t>OMIM phenotype entry</t>
        </is>
      </c>
      <c r="G212" s="8" t="inlineStr">
        <is>
          <t>Primary</t>
        </is>
      </c>
      <c r="H212" s="8" t="inlineStr">
        <is>
          <t>Multisystem ciliopathy</t>
        </is>
      </c>
      <c r="I212" s="8" t="inlineStr">
        <is>
          <t>C2CD3</t>
        </is>
      </c>
      <c r="J212" s="8" t="inlineStr">
        <is>
          <t>AR</t>
        </is>
      </c>
      <c r="K212" s="8" t="inlineStr">
        <is>
          <t>Abdomen; Eyes; Ears; Cardiovascular; Genitourinary; Head and neck; Limbs; Nervous system; Respiratory; Skeletal</t>
        </is>
      </c>
      <c r="L212" s="8" t="n">
        <v>47</v>
      </c>
      <c r="M212" s="8" t="inlineStr">
        <is>
          <t>HP:0000243; HP:0000480; HP:0001290; HP:0410030; HP:0032118; HP:0010297; HP:0010055; HP:0007165; HP:0002419; HP:0003429; HP:0001643; HP:0000039; HP:0000358; HP:0000175; HP:0000252; HP:0000054; HP:0001344; HP:0000695; HP:0002079; HP:0001263; HP:0011802; HP:0012583; HP:0100258; HP:0001338; HP:0000369; HP:0000582; HP:0002085; HP:0000180; HP:0010864; HP:0001629; HP:0001305; HP:0008753; HP:0000773; HP:0001545; HP:0001320; HP:0001321; HP:0001360; HP:0001162; HP:0011069; HP:0000308; HP:0000506; HP:0001631; HP:0000028; HP:0000347; HP:0002126; HP:0000588; HP:0009879</t>
        </is>
      </c>
      <c r="N212" s="8" t="inlineStr">
        <is>
          <t>Yes</t>
        </is>
      </c>
      <c r="O212" s="8" t="n"/>
      <c r="P212" s="8" t="n"/>
    </row>
    <row r="213">
      <c r="A213" s="8" t="inlineStr">
        <is>
          <t>CILP_0212</t>
        </is>
      </c>
      <c r="B213" s="8" t="inlineStr">
        <is>
          <t>Orofaciodigital Syndrome</t>
        </is>
      </c>
      <c r="C213" s="8" t="inlineStr">
        <is>
          <t>OFD15</t>
        </is>
      </c>
      <c r="D213" s="8" t="inlineStr">
        <is>
          <t>617127</t>
        </is>
      </c>
      <c r="E213" s="8" t="inlineStr">
        <is>
          <t>OMIM:617127</t>
        </is>
      </c>
      <c r="F213" s="8" t="inlineStr">
        <is>
          <t>OMIM phenotype entry</t>
        </is>
      </c>
      <c r="G213" s="8" t="inlineStr">
        <is>
          <t>Primary</t>
        </is>
      </c>
      <c r="H213" s="8" t="inlineStr">
        <is>
          <t>Multisystem ciliopathy</t>
        </is>
      </c>
      <c r="I213" s="8" t="inlineStr">
        <is>
          <t>KIAA0753</t>
        </is>
      </c>
      <c r="J213" s="8" t="inlineStr">
        <is>
          <t>AR</t>
        </is>
      </c>
      <c r="K213" s="8" t="inlineStr">
        <is>
          <t>Eyes; Ears; Genitourinary; Head and neck; Limbs; Nervous system; Skeletal</t>
        </is>
      </c>
      <c r="L213" s="8" t="n">
        <v>15</v>
      </c>
      <c r="M213" s="8" t="inlineStr">
        <is>
          <t>HP:0001320; HP:0000431; HP:0000463; HP:0001162; HP:0001274; HP:0000180; HP:0012368; HP:0009084; HP:0010055; HP:0010066; HP:0000316; HP:0002419; HP:0002119; HP:0000369; HP:0000126</t>
        </is>
      </c>
      <c r="N213" s="8" t="inlineStr">
        <is>
          <t>Yes</t>
        </is>
      </c>
      <c r="O213" s="8" t="n"/>
      <c r="P213" s="8" t="n"/>
    </row>
    <row r="214">
      <c r="A214" s="8" t="inlineStr">
        <is>
          <t>CILP_0213</t>
        </is>
      </c>
      <c r="B214" s="8" t="inlineStr">
        <is>
          <t>Orofaciodigital Syndrome</t>
        </is>
      </c>
      <c r="C214" s="8" t="inlineStr">
        <is>
          <t>OFD16</t>
        </is>
      </c>
      <c r="D214" s="8" t="inlineStr">
        <is>
          <t>617563</t>
        </is>
      </c>
      <c r="E214" s="8" t="inlineStr">
        <is>
          <t>OMIM:617563</t>
        </is>
      </c>
      <c r="F214" s="8" t="inlineStr">
        <is>
          <t>OMIM phenotype entry</t>
        </is>
      </c>
      <c r="G214" s="8" t="inlineStr">
        <is>
          <t>Primary</t>
        </is>
      </c>
      <c r="H214" s="8" t="inlineStr">
        <is>
          <t>Multisystem ciliopathy</t>
        </is>
      </c>
      <c r="I214" s="8" t="inlineStr">
        <is>
          <t>TMEM107</t>
        </is>
      </c>
      <c r="J214" s="8" t="inlineStr">
        <is>
          <t>AR</t>
        </is>
      </c>
      <c r="K214" s="8" t="inlineStr">
        <is>
          <t>Abdomen; Eyes; Ears; Head and neck; Limbs; Nervous system; Respiratory; Skeletal</t>
        </is>
      </c>
      <c r="L214" s="8" t="n">
        <v>21</v>
      </c>
      <c r="M214" s="8" t="inlineStr">
        <is>
          <t>HP:0002540; HP:0000023; HP:0001162; HP:0001252; HP:0001263; HP:0001251; HP:0012745; HP:0002282; HP:0001270; HP:0011802; HP:0005280; HP:0010864; HP:0000508; HP:0000657; HP:0002419; HP:0002119; HP:0000488; HP:0001830; HP:0000278; HP:0000369; HP:0002104</t>
        </is>
      </c>
      <c r="N214" s="8" t="inlineStr">
        <is>
          <t>Yes</t>
        </is>
      </c>
      <c r="O214" s="8" t="n"/>
      <c r="P214" s="8" t="n"/>
    </row>
    <row r="215">
      <c r="A215" s="8" t="inlineStr">
        <is>
          <t>CILP_0214</t>
        </is>
      </c>
      <c r="B215" s="8" t="inlineStr">
        <is>
          <t>Orofaciodigital Syndrome</t>
        </is>
      </c>
      <c r="C215" s="8" t="inlineStr">
        <is>
          <t>OFD17</t>
        </is>
      </c>
      <c r="D215" s="8" t="inlineStr">
        <is>
          <t>617926</t>
        </is>
      </c>
      <c r="E215" s="8" t="inlineStr">
        <is>
          <t>OMIM:617926</t>
        </is>
      </c>
      <c r="F215" s="8" t="inlineStr">
        <is>
          <t>OMIM phenotype entry</t>
        </is>
      </c>
      <c r="G215" s="8" t="inlineStr">
        <is>
          <t>Primary</t>
        </is>
      </c>
      <c r="H215" s="8" t="inlineStr">
        <is>
          <t>Multisystem ciliopathy</t>
        </is>
      </c>
      <c r="I215" s="8" t="inlineStr">
        <is>
          <t>INTU</t>
        </is>
      </c>
      <c r="J215" s="8" t="inlineStr">
        <is>
          <t>AR</t>
        </is>
      </c>
      <c r="K215" s="8" t="inlineStr">
        <is>
          <t>Ears; Cardiovascular; Growth; Genitourinary; Head and neck; Limbs; Nervous system; Skeletal</t>
        </is>
      </c>
      <c r="L215" s="8" t="n">
        <v>23</v>
      </c>
      <c r="M215" s="8" t="inlineStr">
        <is>
          <t>HP:0004325; HP:0000054; HP:0000365; HP:0000750; HP:0000089; HP:0004322; HP:0000161; HP:0005487; HP:0000470; HP:0003186; HP:0010442; HP:0100759; HP:0009577; HP:0000448; HP:0001636; HP:0006145; HP:0002705; HP:0002119; HP:0003429; HP:0030084; HP:0009944; HP:0000278; HP:0000369</t>
        </is>
      </c>
      <c r="N215" s="8" t="inlineStr">
        <is>
          <t>Yes</t>
        </is>
      </c>
      <c r="O215" s="8" t="n"/>
      <c r="P215" s="8" t="n"/>
    </row>
    <row r="216">
      <c r="A216" s="8" t="inlineStr">
        <is>
          <t>CILP_0215</t>
        </is>
      </c>
      <c r="B216" s="8" t="inlineStr">
        <is>
          <t>Orofaciodigital Syndrome</t>
        </is>
      </c>
      <c r="C216" s="8" t="inlineStr">
        <is>
          <t>OFD18</t>
        </is>
      </c>
      <c r="D216" s="8" t="inlineStr">
        <is>
          <t>617927</t>
        </is>
      </c>
      <c r="E216" s="8" t="inlineStr">
        <is>
          <t>OMIM:617927</t>
        </is>
      </c>
      <c r="F216" s="8" t="inlineStr">
        <is>
          <t>OMIM phenotype entry</t>
        </is>
      </c>
      <c r="G216" s="8" t="inlineStr">
        <is>
          <t>Primary</t>
        </is>
      </c>
      <c r="H216" s="8" t="inlineStr">
        <is>
          <t>Multisystem ciliopathy</t>
        </is>
      </c>
      <c r="I216" s="8" t="inlineStr">
        <is>
          <t>IFT57</t>
        </is>
      </c>
      <c r="J216" s="8" t="inlineStr">
        <is>
          <t>AR</t>
        </is>
      </c>
      <c r="K216" s="8" t="inlineStr">
        <is>
          <t>Growth; Genitourinary; Head and neck; Limbs; Skeletal; Skin</t>
        </is>
      </c>
      <c r="L216" s="8" t="n">
        <v>21</v>
      </c>
      <c r="M216" s="8" t="inlineStr">
        <is>
          <t>HP:0000891; HP:0000582; HP:0000321; HP:0000431; HP:0001156; HP:0004322; HP:0002750; HP:0000020; HP:0000350; HP:0410030; HP:0000191; HP:0100259; HP:0100258; HP:0009882; HP:0005819; HP:0000426; HP:0000954; HP:0002857; HP:0001852; HP:0000322; HP:0000699</t>
        </is>
      </c>
      <c r="N216" s="8" t="inlineStr">
        <is>
          <t>Yes</t>
        </is>
      </c>
      <c r="O216" s="8" t="n"/>
      <c r="P216" s="8" t="n"/>
    </row>
    <row r="217">
      <c r="A217" s="8" t="inlineStr">
        <is>
          <t>CILP_0216</t>
        </is>
      </c>
      <c r="B217" s="8" t="inlineStr">
        <is>
          <t>Pallister-Hall Syndrome</t>
        </is>
      </c>
      <c r="C217" s="8" t="inlineStr">
        <is>
          <t>PHS</t>
        </is>
      </c>
      <c r="D217" s="8" t="inlineStr">
        <is>
          <t>146510</t>
        </is>
      </c>
      <c r="E217" s="8" t="inlineStr">
        <is>
          <t>OMIM:146510</t>
        </is>
      </c>
      <c r="F217" s="8" t="inlineStr">
        <is>
          <t>OMIM phenotype entry</t>
        </is>
      </c>
      <c r="G217" s="8" t="inlineStr">
        <is>
          <t>Secondary</t>
        </is>
      </c>
      <c r="H217" s="8" t="inlineStr">
        <is>
          <t>General / needs curation</t>
        </is>
      </c>
      <c r="I217" s="8" t="inlineStr">
        <is>
          <t>GLI3</t>
        </is>
      </c>
      <c r="J217" s="8" t="inlineStr">
        <is>
          <t>AD</t>
        </is>
      </c>
      <c r="K217" s="8" t="inlineStr">
        <is>
          <t>Abdomen; Eyes; Ears; Cardiovascular; Endocrine; Growth; Genitourinary; Head and neck; Limbs; Nervous system; Respiratory; Skeletal; Skin</t>
        </is>
      </c>
      <c r="L217" s="8" t="n">
        <v>68</v>
      </c>
      <c r="M217" s="8" t="inlineStr">
        <is>
          <t>HP:0001177; HP:0001770; HP:0002023; HP:0004322; HP:0000089; HP:0002101; HP:0001250; HP:0003196; HP:0000086; HP:0010564; HP:0010567; HP:0002937; HP:0000835; HP:0001841; HP:0001643; HP:0006159; HP:0008734; HP:0007601; HP:0000358; HP:0001249; HP:0006118; HP:0003048; HP:0000054; HP:0000175; HP:0000695; HP:0000453; HP:0000171; HP:0001263; HP:0010112; HP:0100259; HP:0008163; HP:0100258; HP:0010044; HP:0002827; HP:0000568; HP:0000204; HP:0000126; HP:0002444; HP:0008706; HP:0000463; HP:0002164; HP:0005151; HP:0001629; HP:0008551; HP:0008751; HP:0000413; HP:0005349; HP:0001545; HP:0000110; HP:0003027; HP:0000871; HP:0001162; HP:0001360; HP:0000072; HP:0005280; HP:0012165; HP:0000826; HP:0006042; HP:0000902; HP:0008188; HP:0000107; HP:0000824; HP:0001159; HP:0001830; HP:0001511; HP:0001510; HP:0006402; HP:0000028</t>
        </is>
      </c>
      <c r="N217" s="8" t="inlineStr">
        <is>
          <t>No</t>
        </is>
      </c>
      <c r="O217" s="8" t="inlineStr">
        <is>
          <t>Disease family with fewer than 5 entries</t>
        </is>
      </c>
      <c r="P217" s="8" t="n"/>
    </row>
    <row r="218">
      <c r="A218" s="8" t="inlineStr">
        <is>
          <t>CILP_0217</t>
        </is>
      </c>
      <c r="B218" s="8" t="inlineStr">
        <is>
          <t>Polycystic Kidney Disease</t>
        </is>
      </c>
      <c r="C218" s="8" t="inlineStr">
        <is>
          <t>PKD</t>
        </is>
      </c>
      <c r="D218" s="8" t="n"/>
      <c r="E218" s="8" t="inlineStr">
        <is>
          <t>OMIM:263200; OMIM:600273; OMIM:600666; OMIM:613095; OMIM:617610; OMIM:618061; OMIM:620056; OMIM:620903; OMIM:621164; ORPHA:730; ORPHA:731</t>
        </is>
      </c>
      <c r="F218" s="8" t="inlineStr">
        <is>
          <t>Family-level record (combined OMIM and Orphanet entries)</t>
        </is>
      </c>
      <c r="G218" s="8" t="inlineStr">
        <is>
          <t>Primary</t>
        </is>
      </c>
      <c r="H218" s="8" t="inlineStr">
        <is>
          <t>Renal-hepatic ciliopathy</t>
        </is>
      </c>
      <c r="I218" s="8" t="inlineStr">
        <is>
          <t>GLI1; GNAS; PI4KB; PMM2; STAT3; TTC30A</t>
        </is>
      </c>
      <c r="J218" s="8" t="inlineStr">
        <is>
          <t>INCOMPLETE_PENETRANCE; AD; AR</t>
        </is>
      </c>
      <c r="K218" s="8" t="inlineStr">
        <is>
          <t>Abdomen; Ears; Cardiovascular; Endocrine; Growth; Genitourinary; Immune system; Head and neck; Limbs; Nervous system; Metabolism; Respiratory; Skeletal; Skin</t>
        </is>
      </c>
      <c r="L218" s="8" t="n">
        <v>107</v>
      </c>
      <c r="M218" s="8" t="inlineStr">
        <is>
          <t>HP:0003774; HP:0000010; HP:0001696; HP:0001651; HP:0003155; HP:0000083; HP:0005562; HP:0002240; HP:0011800; HP:0030948; HP:0006254; HP:0000822; HP:0001407; HP:0002900; HP:0000113; HP:0003259; HP:0000952; HP:0000324; HP:0012213; HP:0001997; HP:0001410; HP:0004944; HP:0009717; HP:0006772; HP:0000023; HP:0000074; HP:0012624; HP:0012625; HP:0000093; HP:0012626; HP:0033261; HP:0000003; HP:0000787; HP:0001634; HP:0002089; HP:0005576; HP:0001395; HP:0002040; HP:0001409; HP:0004719; HP:0001944; HP:0001405; HP:0001744; HP:0008659; HP:0001562; HP:0005564; HP:0000107; HP:0001737; HP:0002009; HP:0000105; HP:0002248; HP:0004322; HP:0000097; HP:0000090; HP:0001959; HP:0001712; HP:0000103; HP:0012585; HP:0032948; HP:0005565; HP:0001433; HP:0001396; HP:0001510; HP:0001971; HP:0002612; HP:0002630; HP:0002878; HP:0002902; HP:0004905; HP:0006560; HP:0011040; HP:0011892; HP:0011968; HP:0012202; HP:0100512; HP:0100513; HP:0001541; HP:0001873; HP:0001919; HP:0002239; HP:0002243; HP:0002791; HP:0002884; HP:0006532; HP:0030151; HP:0100520; HP:0000347; HP:0000369; HP:0000457; HP:0002108; HP:0030153; HP:0040064; HP:0100543; HP:0000790; HP:0012591; HP:0012592; HP:0012622; HP:0030157; HP:0000791; HP:0002616; HP:0006557; HP:0008672; HP:0011004; HP:0012207; HP:0012330; HP:0100702; HP:0011760</t>
        </is>
      </c>
      <c r="N218" s="8" t="inlineStr">
        <is>
          <t>No</t>
        </is>
      </c>
      <c r="O218" s="8" t="inlineStr">
        <is>
          <t>Disease family with fewer than 5 entries</t>
        </is>
      </c>
      <c r="P218" s="8" t="n"/>
    </row>
    <row r="219">
      <c r="A219" s="8" t="inlineStr">
        <is>
          <t>CILP_0218</t>
        </is>
      </c>
      <c r="B219" s="8" t="inlineStr">
        <is>
          <t>Primary Ciliary Dyskinesia</t>
        </is>
      </c>
      <c r="C219" s="8" t="inlineStr">
        <is>
          <t>CILD1</t>
        </is>
      </c>
      <c r="D219" s="8" t="inlineStr">
        <is>
          <t>244400</t>
        </is>
      </c>
      <c r="E219" s="8" t="inlineStr">
        <is>
          <t>OMIM:244400</t>
        </is>
      </c>
      <c r="F219" s="8" t="inlineStr">
        <is>
          <t>OMIM phenotype entry</t>
        </is>
      </c>
      <c r="G219" s="8" t="inlineStr">
        <is>
          <t>Motile</t>
        </is>
      </c>
      <c r="H219" s="8" t="inlineStr">
        <is>
          <t>Motile cilia / laterality</t>
        </is>
      </c>
      <c r="I219" s="8" t="inlineStr">
        <is>
          <t>DNAI1</t>
        </is>
      </c>
      <c r="J219" s="8" t="inlineStr">
        <is>
          <t>AR</t>
        </is>
      </c>
      <c r="K219" s="8" t="inlineStr">
        <is>
          <t>Abdomen; Eyes; Ears; Cardiovascular; Genitourinary; Immune system; Head and neck; Nervous system; Respiratory; Skeletal</t>
        </is>
      </c>
      <c r="L219" s="8" t="n">
        <v>20</v>
      </c>
      <c r="M219" s="8" t="inlineStr">
        <is>
          <t>HP:0002257; HP:0001696; HP:0002110; HP:0003251; HP:0000481; HP:0100582; HP:0002090; HP:0011109; HP:0100750; HP:0012265; HP:0012256; HP:0012263; HP:0001746; HP:0002837; HP:0000458; HP:0000405; HP:0002315; HP:0000389; HP:0001334; HP:0002688</t>
        </is>
      </c>
      <c r="N219" s="8" t="inlineStr">
        <is>
          <t>Yes</t>
        </is>
      </c>
      <c r="O219" s="8" t="n"/>
      <c r="P219" s="8" t="n"/>
    </row>
    <row r="220">
      <c r="A220" s="8" t="inlineStr">
        <is>
          <t>CILP_0219</t>
        </is>
      </c>
      <c r="B220" s="8" t="inlineStr">
        <is>
          <t>Primary Ciliary Dyskinesia</t>
        </is>
      </c>
      <c r="C220" s="8" t="inlineStr">
        <is>
          <t>CILD36</t>
        </is>
      </c>
      <c r="D220" s="8" t="inlineStr">
        <is>
          <t>300991</t>
        </is>
      </c>
      <c r="E220" s="8" t="inlineStr">
        <is>
          <t>OMIM:300991</t>
        </is>
      </c>
      <c r="F220" s="8" t="inlineStr">
        <is>
          <t>OMIM phenotype entry</t>
        </is>
      </c>
      <c r="G220" s="8" t="inlineStr">
        <is>
          <t>Motile</t>
        </is>
      </c>
      <c r="H220" s="8" t="inlineStr">
        <is>
          <t>Motile cilia / laterality</t>
        </is>
      </c>
      <c r="I220" s="8" t="inlineStr">
        <is>
          <t>DNAAF6</t>
        </is>
      </c>
      <c r="J220" s="8" t="inlineStr">
        <is>
          <t>XLR</t>
        </is>
      </c>
      <c r="K220" s="8" t="inlineStr">
        <is>
          <t>Ears; Cardiovascular; Genitourinary; Immune system; Head and neck; Respiratory; Skeletal</t>
        </is>
      </c>
      <c r="L220" s="8" t="n">
        <v>10</v>
      </c>
      <c r="M220" s="8" t="inlineStr">
        <is>
          <t>HP:0001696; HP:0002110; HP:0003251; HP:0033036; HP:0012735; HP:0002205; HP:0000389; HP:0001742; HP:0011108; HP:0002643</t>
        </is>
      </c>
      <c r="N220" s="8" t="inlineStr">
        <is>
          <t>Yes</t>
        </is>
      </c>
      <c r="O220" s="8" t="n"/>
      <c r="P220" s="8" t="n"/>
    </row>
    <row r="221">
      <c r="A221" s="8" t="inlineStr">
        <is>
          <t>CILP_0220</t>
        </is>
      </c>
      <c r="B221" s="8" t="inlineStr">
        <is>
          <t>Primary Ciliary Dyskinesia</t>
        </is>
      </c>
      <c r="C221" s="8" t="inlineStr">
        <is>
          <t>CILD2</t>
        </is>
      </c>
      <c r="D221" s="8" t="inlineStr">
        <is>
          <t>606763</t>
        </is>
      </c>
      <c r="E221" s="8" t="inlineStr">
        <is>
          <t>OMIM:606763</t>
        </is>
      </c>
      <c r="F221" s="8" t="inlineStr">
        <is>
          <t>OMIM phenotype entry</t>
        </is>
      </c>
      <c r="G221" s="8" t="inlineStr">
        <is>
          <t>Motile</t>
        </is>
      </c>
      <c r="H221" s="8" t="inlineStr">
        <is>
          <t>Motile cilia / laterality</t>
        </is>
      </c>
      <c r="I221" s="8" t="inlineStr">
        <is>
          <t>DNAAF3</t>
        </is>
      </c>
      <c r="J221" s="8" t="inlineStr">
        <is>
          <t>AR</t>
        </is>
      </c>
      <c r="K221" s="8" t="inlineStr">
        <is>
          <t>Ears; Cardiovascular; Genitourinary; Immune system; Head and neck; Respiratory; Skeletal</t>
        </is>
      </c>
      <c r="L221" s="8" t="n">
        <v>13</v>
      </c>
      <c r="M221" s="8" t="inlineStr">
        <is>
          <t>HP:0001696; HP:0000365; HP:0001651; HP:0002098; HP:0002110; HP:0100582; HP:0012259; HP:0012265; HP:0012263; HP:0000789; HP:0000246; HP:0002205; HP:0000388</t>
        </is>
      </c>
      <c r="N221" s="8" t="inlineStr">
        <is>
          <t>Yes</t>
        </is>
      </c>
      <c r="O221" s="8" t="n"/>
      <c r="P221" s="8" t="n"/>
    </row>
    <row r="222">
      <c r="A222" s="8" t="inlineStr">
        <is>
          <t>CILP_0221</t>
        </is>
      </c>
      <c r="B222" s="8" t="inlineStr">
        <is>
          <t>Primary Ciliary Dyskinesia</t>
        </is>
      </c>
      <c r="C222" s="8" t="inlineStr">
        <is>
          <t>CILD3</t>
        </is>
      </c>
      <c r="D222" s="8" t="inlineStr">
        <is>
          <t>608644</t>
        </is>
      </c>
      <c r="E222" s="8" t="inlineStr">
        <is>
          <t>OMIM:608644</t>
        </is>
      </c>
      <c r="F222" s="8" t="inlineStr">
        <is>
          <t>OMIM phenotype entry</t>
        </is>
      </c>
      <c r="G222" s="8" t="inlineStr">
        <is>
          <t>Motile</t>
        </is>
      </c>
      <c r="H222" s="8" t="inlineStr">
        <is>
          <t>Motile cilia / laterality</t>
        </is>
      </c>
      <c r="I222" s="8" t="inlineStr">
        <is>
          <t>DNAH5</t>
        </is>
      </c>
      <c r="J222" s="8" t="inlineStr">
        <is>
          <t>AR</t>
        </is>
      </c>
      <c r="K222" s="8" t="inlineStr">
        <is>
          <t>Ears; Cardiovascular; Immune system; Head and neck; Respiratory; Skeletal</t>
        </is>
      </c>
      <c r="L222" s="8" t="n">
        <v>8</v>
      </c>
      <c r="M222" s="8" t="inlineStr">
        <is>
          <t>HP:0012265; HP:0001696; HP:0002110; HP:0033036; HP:0000403; HP:0002205; HP:0011108; HP:0002643</t>
        </is>
      </c>
      <c r="N222" s="8" t="inlineStr">
        <is>
          <t>Yes</t>
        </is>
      </c>
      <c r="O222" s="8" t="n"/>
      <c r="P222" s="8" t="n"/>
    </row>
    <row r="223">
      <c r="A223" s="8" t="inlineStr">
        <is>
          <t>CILP_0222</t>
        </is>
      </c>
      <c r="B223" s="8" t="inlineStr">
        <is>
          <t>Primary Ciliary Dyskinesia</t>
        </is>
      </c>
      <c r="C223" s="8" t="inlineStr">
        <is>
          <t>CILD5</t>
        </is>
      </c>
      <c r="D223" s="8" t="inlineStr">
        <is>
          <t>608647</t>
        </is>
      </c>
      <c r="E223" s="8" t="inlineStr">
        <is>
          <t>OMIM:608647</t>
        </is>
      </c>
      <c r="F223" s="8" t="inlineStr">
        <is>
          <t>OMIM phenotype entry</t>
        </is>
      </c>
      <c r="G223" s="8" t="inlineStr">
        <is>
          <t>Motile</t>
        </is>
      </c>
      <c r="H223" s="8" t="inlineStr">
        <is>
          <t>Motile cilia / laterality</t>
        </is>
      </c>
      <c r="I223" s="8" t="inlineStr">
        <is>
          <t>HYDIN</t>
        </is>
      </c>
      <c r="J223" s="8" t="inlineStr">
        <is>
          <t>AR</t>
        </is>
      </c>
      <c r="K223" s="8" t="inlineStr">
        <is>
          <t>Ears; Cardiovascular; Genitourinary; Immune system; Head and neck; Respiratory; Skeletal</t>
        </is>
      </c>
      <c r="L223" s="8" t="n">
        <v>15</v>
      </c>
      <c r="M223" s="8" t="inlineStr">
        <is>
          <t>HP:0002257; HP:0001696; HP:0002110; HP:0100582; HP:0033542; HP:0012207; HP:0011108; HP:0200073; HP:0012265; HP:0000403; HP:0002878; HP:0006532; HP:0002205; HP:0002643; HP:0004469</t>
        </is>
      </c>
      <c r="N223" s="8" t="inlineStr">
        <is>
          <t>Yes</t>
        </is>
      </c>
      <c r="O223" s="8" t="n"/>
      <c r="P223" s="8" t="n"/>
    </row>
    <row r="224">
      <c r="A224" s="8" t="inlineStr">
        <is>
          <t>CILP_0223</t>
        </is>
      </c>
      <c r="B224" s="8" t="inlineStr">
        <is>
          <t>Primary Ciliary Dyskinesia</t>
        </is>
      </c>
      <c r="C224" s="8" t="inlineStr">
        <is>
          <t>CILD6</t>
        </is>
      </c>
      <c r="D224" s="8" t="inlineStr">
        <is>
          <t>610852</t>
        </is>
      </c>
      <c r="E224" s="8" t="inlineStr">
        <is>
          <t>OMIM:610852</t>
        </is>
      </c>
      <c r="F224" s="8" t="inlineStr">
        <is>
          <t>OMIM phenotype entry</t>
        </is>
      </c>
      <c r="G224" s="8" t="inlineStr">
        <is>
          <t>Motile</t>
        </is>
      </c>
      <c r="H224" s="8" t="inlineStr">
        <is>
          <t>Motile cilia / laterality</t>
        </is>
      </c>
      <c r="I224" s="8" t="inlineStr">
        <is>
          <t>NME8</t>
        </is>
      </c>
      <c r="J224" s="8" t="inlineStr">
        <is>
          <t>AR</t>
        </is>
      </c>
      <c r="K224" s="8" t="inlineStr">
        <is>
          <t>Immune system; Head and neck; Respiratory; Skeletal</t>
        </is>
      </c>
      <c r="L224" s="8" t="n">
        <v>7</v>
      </c>
      <c r="M224" s="8" t="inlineStr">
        <is>
          <t>HP:0012265; HP:0200109; HP:0012262; HP:0005938; HP:0000246; HP:0002205; HP:0011108</t>
        </is>
      </c>
      <c r="N224" s="8" t="inlineStr">
        <is>
          <t>Yes</t>
        </is>
      </c>
      <c r="O224" s="8" t="n"/>
      <c r="P224" s="8" t="n"/>
    </row>
    <row r="225">
      <c r="A225" s="8" t="inlineStr">
        <is>
          <t>CILP_0224</t>
        </is>
      </c>
      <c r="B225" s="8" t="inlineStr">
        <is>
          <t>Primary Ciliary Dyskinesia</t>
        </is>
      </c>
      <c r="C225" s="8" t="inlineStr">
        <is>
          <t>CILD7</t>
        </is>
      </c>
      <c r="D225" s="8" t="inlineStr">
        <is>
          <t>611884</t>
        </is>
      </c>
      <c r="E225" s="8" t="inlineStr">
        <is>
          <t>OMIM:611884</t>
        </is>
      </c>
      <c r="F225" s="8" t="inlineStr">
        <is>
          <t>OMIM phenotype entry</t>
        </is>
      </c>
      <c r="G225" s="8" t="inlineStr">
        <is>
          <t>Motile</t>
        </is>
      </c>
      <c r="H225" s="8" t="inlineStr">
        <is>
          <t>Motile cilia / laterality</t>
        </is>
      </c>
      <c r="I225" s="8" t="inlineStr">
        <is>
          <t>DNAH11</t>
        </is>
      </c>
      <c r="J225" s="8" t="inlineStr">
        <is>
          <t>AR</t>
        </is>
      </c>
      <c r="K225" s="8" t="inlineStr">
        <is>
          <t>Ears; Cardiovascular; Immune system; Head and neck; Respiratory</t>
        </is>
      </c>
      <c r="L225" s="8" t="n">
        <v>13</v>
      </c>
      <c r="M225" s="8" t="inlineStr">
        <is>
          <t>HP:0002257; HP:0001696; HP:0001651; HP:0002110; HP:0033036; HP:0012735; HP:0012258; HP:0002091; HP:0030877; HP:0012265; HP:0012262; HP:0000403; HP:0006532</t>
        </is>
      </c>
      <c r="N225" s="8" t="inlineStr">
        <is>
          <t>Yes</t>
        </is>
      </c>
      <c r="O225" s="8" t="n"/>
      <c r="P225" s="8" t="n"/>
    </row>
    <row r="226">
      <c r="A226" s="8" t="inlineStr">
        <is>
          <t>CILP_0225</t>
        </is>
      </c>
      <c r="B226" s="8" t="inlineStr">
        <is>
          <t>Primary Ciliary Dyskinesia</t>
        </is>
      </c>
      <c r="C226" s="8" t="inlineStr">
        <is>
          <t>CILD9</t>
        </is>
      </c>
      <c r="D226" s="8" t="inlineStr">
        <is>
          <t>612444</t>
        </is>
      </c>
      <c r="E226" s="8" t="inlineStr">
        <is>
          <t>OMIM:612444</t>
        </is>
      </c>
      <c r="F226" s="8" t="inlineStr">
        <is>
          <t>OMIM phenotype entry</t>
        </is>
      </c>
      <c r="G226" s="8" t="inlineStr">
        <is>
          <t>Motile</t>
        </is>
      </c>
      <c r="H226" s="8" t="inlineStr">
        <is>
          <t>Motile cilia / laterality</t>
        </is>
      </c>
      <c r="I226" s="8" t="inlineStr">
        <is>
          <t>DNAI2</t>
        </is>
      </c>
      <c r="J226" s="8" t="inlineStr">
        <is>
          <t>AR</t>
        </is>
      </c>
      <c r="K226" s="8" t="inlineStr">
        <is>
          <t>Ears; Cardiovascular; Genitourinary; Immune system; Head and neck; Respiratory; Skeletal</t>
        </is>
      </c>
      <c r="L226" s="8" t="n">
        <v>14</v>
      </c>
      <c r="M226" s="8" t="inlineStr">
        <is>
          <t>HP:0002257; HP:0001696; HP:0002110; HP:0003251; HP:0033036; HP:0012735; HP:0002090; HP:0011109; HP:0011108; HP:0012265; HP:0012256; HP:0000403; HP:0000389; HP:0002643</t>
        </is>
      </c>
      <c r="N226" s="8" t="inlineStr">
        <is>
          <t>Yes</t>
        </is>
      </c>
      <c r="O226" s="8" t="n"/>
      <c r="P226" s="8" t="n"/>
    </row>
    <row r="227">
      <c r="A227" s="8" t="inlineStr">
        <is>
          <t>CILP_0226</t>
        </is>
      </c>
      <c r="B227" s="8" t="inlineStr">
        <is>
          <t>Primary Ciliary Dyskinesia</t>
        </is>
      </c>
      <c r="C227" s="8" t="inlineStr">
        <is>
          <t>CILD10</t>
        </is>
      </c>
      <c r="D227" s="8" t="inlineStr">
        <is>
          <t>612518</t>
        </is>
      </c>
      <c r="E227" s="8" t="inlineStr">
        <is>
          <t>OMIM:612518</t>
        </is>
      </c>
      <c r="F227" s="8" t="inlineStr">
        <is>
          <t>OMIM phenotype entry</t>
        </is>
      </c>
      <c r="G227" s="8" t="inlineStr">
        <is>
          <t>Motile</t>
        </is>
      </c>
      <c r="H227" s="8" t="inlineStr">
        <is>
          <t>Motile cilia / laterality</t>
        </is>
      </c>
      <c r="I227" s="8" t="inlineStr">
        <is>
          <t>DNAAF2</t>
        </is>
      </c>
      <c r="J227" s="8" t="inlineStr">
        <is>
          <t>AR</t>
        </is>
      </c>
      <c r="K227" s="8" t="inlineStr">
        <is>
          <t>Ears; Cardiovascular; Immune system; Head and neck; Respiratory; Skeletal</t>
        </is>
      </c>
      <c r="L227" s="8" t="n">
        <v>6</v>
      </c>
      <c r="M227" s="8" t="inlineStr">
        <is>
          <t>HP:0012265; HP:0001696; HP:0005938; HP:0000389; HP:0011109; HP:0011108</t>
        </is>
      </c>
      <c r="N227" s="8" t="inlineStr">
        <is>
          <t>Yes</t>
        </is>
      </c>
      <c r="O227" s="8" t="n"/>
      <c r="P227" s="8" t="n"/>
    </row>
    <row r="228">
      <c r="A228" s="8" t="inlineStr">
        <is>
          <t>CILP_0227</t>
        </is>
      </c>
      <c r="B228" s="8" t="inlineStr">
        <is>
          <t>Primary Ciliary Dyskinesia</t>
        </is>
      </c>
      <c r="C228" s="8" t="inlineStr">
        <is>
          <t>CILD11</t>
        </is>
      </c>
      <c r="D228" s="8" t="inlineStr">
        <is>
          <t>612649</t>
        </is>
      </c>
      <c r="E228" s="8" t="inlineStr">
        <is>
          <t>OMIM:612649</t>
        </is>
      </c>
      <c r="F228" s="8" t="inlineStr">
        <is>
          <t>OMIM phenotype entry</t>
        </is>
      </c>
      <c r="G228" s="8" t="inlineStr">
        <is>
          <t>Motile</t>
        </is>
      </c>
      <c r="H228" s="8" t="inlineStr">
        <is>
          <t>Motile cilia / laterality</t>
        </is>
      </c>
      <c r="I228" s="8" t="inlineStr">
        <is>
          <t>RSPH4A</t>
        </is>
      </c>
      <c r="J228" s="8" t="inlineStr">
        <is>
          <t>AR</t>
        </is>
      </c>
      <c r="K228" s="8" t="inlineStr">
        <is>
          <t>Growth; Genitourinary; Immune system; Head and neck; Respiratory; Skeletal</t>
        </is>
      </c>
      <c r="L228" s="8" t="n">
        <v>13</v>
      </c>
      <c r="M228" s="8" t="inlineStr">
        <is>
          <t>HP:0002257; HP:0004322; HP:0002110; HP:0033036; HP:0012207; HP:0011108; HP:0012265; HP:0012260; HP:0012263; HP:0002205; HP:0002643; HP:0003546; HP:0004469</t>
        </is>
      </c>
      <c r="N228" s="8" t="inlineStr">
        <is>
          <t>Yes</t>
        </is>
      </c>
      <c r="O228" s="8" t="n"/>
      <c r="P228" s="8" t="n"/>
    </row>
    <row r="229">
      <c r="A229" s="8" t="inlineStr">
        <is>
          <t>CILP_0228</t>
        </is>
      </c>
      <c r="B229" s="8" t="inlineStr">
        <is>
          <t>Primary Ciliary Dyskinesia</t>
        </is>
      </c>
      <c r="C229" s="8" t="inlineStr">
        <is>
          <t>CILD12</t>
        </is>
      </c>
      <c r="D229" s="8" t="inlineStr">
        <is>
          <t>612650</t>
        </is>
      </c>
      <c r="E229" s="8" t="inlineStr">
        <is>
          <t>OMIM:612650</t>
        </is>
      </c>
      <c r="F229" s="8" t="inlineStr">
        <is>
          <t>OMIM phenotype entry</t>
        </is>
      </c>
      <c r="G229" s="8" t="inlineStr">
        <is>
          <t>Motile</t>
        </is>
      </c>
      <c r="H229" s="8" t="inlineStr">
        <is>
          <t>Motile cilia / laterality</t>
        </is>
      </c>
      <c r="I229" s="8" t="inlineStr">
        <is>
          <t>RSPH9</t>
        </is>
      </c>
      <c r="J229" s="8" t="inlineStr">
        <is>
          <t>AR</t>
        </is>
      </c>
      <c r="K229" s="8" t="inlineStr">
        <is>
          <t>Ears; Cardiovascular; Growth; Genitourinary; Immune system; Head and neck; Respiratory; Skeletal</t>
        </is>
      </c>
      <c r="L229" s="8" t="n">
        <v>15</v>
      </c>
      <c r="M229" s="8" t="inlineStr">
        <is>
          <t>HP:0002257; HP:0001696; HP:0004322; HP:0002110; HP:0033036; HP:0012207; HP:0012208; HP:0011109; HP:0012265; HP:0012260; HP:0006510; HP:0002205; HP:0000389; HP:0002643; HP:0003546</t>
        </is>
      </c>
      <c r="N229" s="8" t="inlineStr">
        <is>
          <t>Yes</t>
        </is>
      </c>
      <c r="O229" s="8" t="n"/>
      <c r="P229" s="8" t="n"/>
    </row>
    <row r="230">
      <c r="A230" s="8" t="inlineStr">
        <is>
          <t>CILP_0229</t>
        </is>
      </c>
      <c r="B230" s="8" t="inlineStr">
        <is>
          <t>Primary Ciliary Dyskinesia</t>
        </is>
      </c>
      <c r="C230" s="8" t="inlineStr">
        <is>
          <t>CILD13</t>
        </is>
      </c>
      <c r="D230" s="8" t="inlineStr">
        <is>
          <t>613193</t>
        </is>
      </c>
      <c r="E230" s="8" t="inlineStr">
        <is>
          <t>OMIM:613193</t>
        </is>
      </c>
      <c r="F230" s="8" t="inlineStr">
        <is>
          <t>OMIM phenotype entry</t>
        </is>
      </c>
      <c r="G230" s="8" t="inlineStr">
        <is>
          <t>Motile</t>
        </is>
      </c>
      <c r="H230" s="8" t="inlineStr">
        <is>
          <t>Motile cilia / laterality</t>
        </is>
      </c>
      <c r="I230" s="8" t="inlineStr">
        <is>
          <t>DNAAF1</t>
        </is>
      </c>
      <c r="J230" s="8" t="inlineStr">
        <is>
          <t>AR</t>
        </is>
      </c>
      <c r="K230" s="8" t="inlineStr">
        <is>
          <t>Ears; Cardiovascular; Genitourinary; Immune system; Head and neck; Respiratory; Skeletal</t>
        </is>
      </c>
      <c r="L230" s="8" t="n">
        <v>10</v>
      </c>
      <c r="M230" s="8" t="inlineStr">
        <is>
          <t>HP:0012265; HP:0001696; HP:0012256; HP:0002110; HP:0012263; HP:0000789; HP:0002837; HP:0000403; HP:0012257; HP:0011108</t>
        </is>
      </c>
      <c r="N230" s="8" t="inlineStr">
        <is>
          <t>Yes</t>
        </is>
      </c>
      <c r="O230" s="8" t="n"/>
      <c r="P230" s="8" t="n"/>
    </row>
    <row r="231">
      <c r="A231" s="8" t="inlineStr">
        <is>
          <t>CILP_0230</t>
        </is>
      </c>
      <c r="B231" s="8" t="inlineStr">
        <is>
          <t>Primary Ciliary Dyskinesia</t>
        </is>
      </c>
      <c r="C231" s="8" t="inlineStr">
        <is>
          <t>CILD14</t>
        </is>
      </c>
      <c r="D231" s="8" t="inlineStr">
        <is>
          <t>613807</t>
        </is>
      </c>
      <c r="E231" s="8" t="inlineStr">
        <is>
          <t>OMIM:613807</t>
        </is>
      </c>
      <c r="F231" s="8" t="inlineStr">
        <is>
          <t>OMIM phenotype entry</t>
        </is>
      </c>
      <c r="G231" s="8" t="inlineStr">
        <is>
          <t>Motile</t>
        </is>
      </c>
      <c r="H231" s="8" t="inlineStr">
        <is>
          <t>Motile cilia / laterality</t>
        </is>
      </c>
      <c r="I231" s="8" t="inlineStr">
        <is>
          <t>CCDC39</t>
        </is>
      </c>
      <c r="J231" s="8" t="inlineStr">
        <is>
          <t>AR</t>
        </is>
      </c>
      <c r="K231" s="8" t="inlineStr">
        <is>
          <t>Abdomen; Ears; Cardiovascular; Growth; Genitourinary; Immune system; Head and neck; Respiratory; Skeletal</t>
        </is>
      </c>
      <c r="L231" s="8" t="n">
        <v>20</v>
      </c>
      <c r="M231" s="8" t="inlineStr">
        <is>
          <t>HP:0030853; HP:0001696; HP:0003251; HP:0012207; HP:0012208; HP:0001748; HP:0006532; HP:0031417; HP:0002110; HP:0012735; HP:0030828; HP:0012257; HP:0011109; HP:0012258; HP:0012265; HP:0012262; HP:0002205; HP:0000388; HP:0002643; HP:0004469</t>
        </is>
      </c>
      <c r="N231" s="8" t="inlineStr">
        <is>
          <t>Yes</t>
        </is>
      </c>
      <c r="O231" s="8" t="n"/>
      <c r="P231" s="8" t="n"/>
    </row>
    <row r="232">
      <c r="A232" s="8" t="inlineStr">
        <is>
          <t>CILP_0231</t>
        </is>
      </c>
      <c r="B232" s="8" t="inlineStr">
        <is>
          <t>Primary Ciliary Dyskinesia</t>
        </is>
      </c>
      <c r="C232" s="8" t="inlineStr">
        <is>
          <t>CILD15</t>
        </is>
      </c>
      <c r="D232" s="8" t="inlineStr">
        <is>
          <t>613808</t>
        </is>
      </c>
      <c r="E232" s="8" t="inlineStr">
        <is>
          <t>OMIM:613808</t>
        </is>
      </c>
      <c r="F232" s="8" t="inlineStr">
        <is>
          <t>OMIM phenotype entry</t>
        </is>
      </c>
      <c r="G232" s="8" t="inlineStr">
        <is>
          <t>Motile</t>
        </is>
      </c>
      <c r="H232" s="8" t="inlineStr">
        <is>
          <t>Motile cilia / laterality</t>
        </is>
      </c>
      <c r="I232" s="8" t="inlineStr">
        <is>
          <t>CCDC40</t>
        </is>
      </c>
      <c r="J232" s="8" t="inlineStr">
        <is>
          <t>AR</t>
        </is>
      </c>
      <c r="K232" s="8" t="inlineStr">
        <is>
          <t>Ears; Cardiovascular; Genitourinary; Immune system; Head and neck; Respiratory; Skeletal</t>
        </is>
      </c>
      <c r="L232" s="8" t="n">
        <v>16</v>
      </c>
      <c r="M232" s="8" t="inlineStr">
        <is>
          <t>HP:0031417; HP:0001696; HP:0002110; HP:0012735; HP:0030828; HP:0100582; HP:0012208; HP:0011109; HP:0012258; HP:0012265; HP:0000789; HP:0000403; HP:0006532; HP:0002205; HP:0002643; HP:0004469</t>
        </is>
      </c>
      <c r="N232" s="8" t="inlineStr">
        <is>
          <t>Yes</t>
        </is>
      </c>
      <c r="O232" s="8" t="n"/>
      <c r="P232" s="8" t="n"/>
    </row>
    <row r="233">
      <c r="A233" s="8" t="inlineStr">
        <is>
          <t>CILP_0232</t>
        </is>
      </c>
      <c r="B233" s="8" t="inlineStr">
        <is>
          <t>Primary Ciliary Dyskinesia</t>
        </is>
      </c>
      <c r="C233" s="8" t="inlineStr">
        <is>
          <t>CILD16</t>
        </is>
      </c>
      <c r="D233" s="8" t="inlineStr">
        <is>
          <t>614017</t>
        </is>
      </c>
      <c r="E233" s="8" t="inlineStr">
        <is>
          <t>OMIM:614017</t>
        </is>
      </c>
      <c r="F233" s="8" t="inlineStr">
        <is>
          <t>OMIM phenotype entry</t>
        </is>
      </c>
      <c r="G233" s="8" t="inlineStr">
        <is>
          <t>Motile</t>
        </is>
      </c>
      <c r="H233" s="8" t="inlineStr">
        <is>
          <t>Motile cilia / laterality</t>
        </is>
      </c>
      <c r="I233" s="8" t="inlineStr">
        <is>
          <t>DNAL1</t>
        </is>
      </c>
      <c r="J233" s="8" t="inlineStr">
        <is>
          <t>AR</t>
        </is>
      </c>
      <c r="K233" s="8" t="inlineStr">
        <is>
          <t>Ears; Cardiovascular; Immune system; Head and neck; Respiratory; Skeletal</t>
        </is>
      </c>
      <c r="L233" s="8" t="n">
        <v>9</v>
      </c>
      <c r="M233" s="8" t="inlineStr">
        <is>
          <t>HP:0002257; HP:0012265; HP:0001696; HP:0012256; HP:0002110; HP:0012262; HP:0010444; HP:0000389; HP:0011109</t>
        </is>
      </c>
      <c r="N233" s="8" t="inlineStr">
        <is>
          <t>Yes</t>
        </is>
      </c>
      <c r="O233" s="8" t="n"/>
      <c r="P233" s="8" t="n"/>
    </row>
    <row r="234">
      <c r="A234" s="8" t="inlineStr">
        <is>
          <t>CILP_0233</t>
        </is>
      </c>
      <c r="B234" s="8" t="inlineStr">
        <is>
          <t>Primary Ciliary Dyskinesia</t>
        </is>
      </c>
      <c r="C234" s="8" t="inlineStr">
        <is>
          <t>CILD17</t>
        </is>
      </c>
      <c r="D234" s="8" t="inlineStr">
        <is>
          <t>614679</t>
        </is>
      </c>
      <c r="E234" s="8" t="inlineStr">
        <is>
          <t>OMIM:614679</t>
        </is>
      </c>
      <c r="F234" s="8" t="inlineStr">
        <is>
          <t>OMIM phenotype entry</t>
        </is>
      </c>
      <c r="G234" s="8" t="inlineStr">
        <is>
          <t>Motile</t>
        </is>
      </c>
      <c r="H234" s="8" t="inlineStr">
        <is>
          <t>Motile cilia / laterality</t>
        </is>
      </c>
      <c r="I234" s="8" t="inlineStr">
        <is>
          <t>CCDC103</t>
        </is>
      </c>
      <c r="J234" s="8" t="inlineStr">
        <is>
          <t>AR</t>
        </is>
      </c>
      <c r="K234" s="8" t="inlineStr">
        <is>
          <t>Ears; Cardiovascular; Immune system; Head and neck; Respiratory; Skeletal</t>
        </is>
      </c>
      <c r="L234" s="8" t="n">
        <v>10</v>
      </c>
      <c r="M234" s="8" t="inlineStr">
        <is>
          <t>HP:0002257; HP:0012265; HP:0001696; HP:0012255; HP:0001651; HP:0002110; HP:0012735; HP:0000403; HP:0011109; HP:0002205</t>
        </is>
      </c>
      <c r="N234" s="8" t="inlineStr">
        <is>
          <t>Yes</t>
        </is>
      </c>
      <c r="O234" s="8" t="n"/>
      <c r="P234" s="8" t="n"/>
    </row>
    <row r="235">
      <c r="A235" s="8" t="inlineStr">
        <is>
          <t>CILP_0234</t>
        </is>
      </c>
      <c r="B235" s="8" t="inlineStr">
        <is>
          <t>Primary Ciliary Dyskinesia</t>
        </is>
      </c>
      <c r="C235" s="8" t="inlineStr">
        <is>
          <t>CILD18</t>
        </is>
      </c>
      <c r="D235" s="8" t="inlineStr">
        <is>
          <t>614874</t>
        </is>
      </c>
      <c r="E235" s="8" t="inlineStr">
        <is>
          <t>OMIM:614874</t>
        </is>
      </c>
      <c r="F235" s="8" t="inlineStr">
        <is>
          <t>OMIM phenotype entry</t>
        </is>
      </c>
      <c r="G235" s="8" t="inlineStr">
        <is>
          <t>Motile</t>
        </is>
      </c>
      <c r="H235" s="8" t="inlineStr">
        <is>
          <t>Motile cilia / laterality</t>
        </is>
      </c>
      <c r="I235" s="8" t="inlineStr">
        <is>
          <t>DNAAF5</t>
        </is>
      </c>
      <c r="J235" s="8" t="inlineStr">
        <is>
          <t>AR</t>
        </is>
      </c>
      <c r="K235" s="8" t="inlineStr">
        <is>
          <t>Abdomen; Ears; Cardiovascular; Growth; Genitourinary; Immune system; Head and neck; Respiratory; Skeletal</t>
        </is>
      </c>
      <c r="L235" s="8" t="n">
        <v>15</v>
      </c>
      <c r="M235" s="8" t="inlineStr">
        <is>
          <t>HP:0001696; HP:0003251; HP:0033036; HP:0012208; HP:0031565; HP:0012257; HP:0011108; HP:0200073; HP:0012265; HP:0012256; HP:0012384; HP:0012263; HP:0000403; HP:0002643; HP:0004469</t>
        </is>
      </c>
      <c r="N235" s="8" t="inlineStr">
        <is>
          <t>Yes</t>
        </is>
      </c>
      <c r="O235" s="8" t="n"/>
      <c r="P235" s="8" t="n"/>
    </row>
    <row r="236">
      <c r="A236" s="8" t="inlineStr">
        <is>
          <t>CILP_0235</t>
        </is>
      </c>
      <c r="B236" s="8" t="inlineStr">
        <is>
          <t>Primary Ciliary Dyskinesia</t>
        </is>
      </c>
      <c r="C236" s="8" t="inlineStr">
        <is>
          <t>CILD19</t>
        </is>
      </c>
      <c r="D236" s="8" t="inlineStr">
        <is>
          <t>614935</t>
        </is>
      </c>
      <c r="E236" s="8" t="inlineStr">
        <is>
          <t>OMIM:614935</t>
        </is>
      </c>
      <c r="F236" s="8" t="inlineStr">
        <is>
          <t>OMIM phenotype entry</t>
        </is>
      </c>
      <c r="G236" s="8" t="inlineStr">
        <is>
          <t>Motile</t>
        </is>
      </c>
      <c r="H236" s="8" t="inlineStr">
        <is>
          <t>Motile cilia / laterality</t>
        </is>
      </c>
      <c r="I236" s="8" t="inlineStr">
        <is>
          <t>LRRC6</t>
        </is>
      </c>
      <c r="J236" s="8" t="inlineStr">
        <is>
          <t>AR</t>
        </is>
      </c>
      <c r="K236" s="8" t="inlineStr">
        <is>
          <t>Ears; Cardiovascular; Genitourinary; Immune system; Head and neck; Respiratory; Skeletal</t>
        </is>
      </c>
      <c r="L236" s="8" t="n">
        <v>13</v>
      </c>
      <c r="M236" s="8" t="inlineStr">
        <is>
          <t>HP:0001696; HP:0002110; HP:0003251; HP:0100582; HP:0011108; HP:0012259; HP:0200073; HP:0012265; HP:0012263; HP:0012384; HP:0000403; HP:0002205; HP:0004469</t>
        </is>
      </c>
      <c r="N236" s="8" t="inlineStr">
        <is>
          <t>Yes</t>
        </is>
      </c>
      <c r="O236" s="8" t="n"/>
      <c r="P236" s="8" t="n"/>
    </row>
    <row r="237">
      <c r="A237" s="8" t="inlineStr">
        <is>
          <t>CILP_0236</t>
        </is>
      </c>
      <c r="B237" s="8" t="inlineStr">
        <is>
          <t>Primary Ciliary Dyskinesia</t>
        </is>
      </c>
      <c r="C237" s="8" t="inlineStr">
        <is>
          <t>CILD20</t>
        </is>
      </c>
      <c r="D237" s="8" t="inlineStr">
        <is>
          <t>615067</t>
        </is>
      </c>
      <c r="E237" s="8" t="inlineStr">
        <is>
          <t>OMIM:615067</t>
        </is>
      </c>
      <c r="F237" s="8" t="inlineStr">
        <is>
          <t>OMIM phenotype entry</t>
        </is>
      </c>
      <c r="G237" s="8" t="inlineStr">
        <is>
          <t>Motile</t>
        </is>
      </c>
      <c r="H237" s="8" t="inlineStr">
        <is>
          <t>Motile cilia / laterality</t>
        </is>
      </c>
      <c r="I237" s="8" t="inlineStr">
        <is>
          <t>ODAD1</t>
        </is>
      </c>
      <c r="J237" s="8" t="inlineStr">
        <is>
          <t>AR</t>
        </is>
      </c>
      <c r="K237" s="8" t="inlineStr">
        <is>
          <t>Ears; Cardiovascular; Genitourinary; Immune system; Head and neck; Respiratory; Skeletal</t>
        </is>
      </c>
      <c r="L237" s="8" t="n">
        <v>22</v>
      </c>
      <c r="M237" s="8" t="inlineStr">
        <is>
          <t>HP:0001650; HP:0031417; HP:0001696; HP:0001651; HP:0000144; HP:0005301; HP:0002110; HP:0031245; HP:0002092; HP:0100750; HP:0011538; HP:0011108; HP:0200073; HP:0012265; HP:0012256; HP:0001629; HP:0001719; HP:0000403; HP:0006532; HP:0002205; HP:0004415; HP:0002105</t>
        </is>
      </c>
      <c r="N237" s="8" t="inlineStr">
        <is>
          <t>Yes</t>
        </is>
      </c>
      <c r="O237" s="8" t="n"/>
      <c r="P237" s="8" t="n"/>
    </row>
    <row r="238">
      <c r="A238" s="8" t="inlineStr">
        <is>
          <t>CILP_0237</t>
        </is>
      </c>
      <c r="B238" s="8" t="inlineStr">
        <is>
          <t>Primary Ciliary Dyskinesia</t>
        </is>
      </c>
      <c r="C238" s="8" t="inlineStr">
        <is>
          <t>CILD21</t>
        </is>
      </c>
      <c r="D238" s="8" t="inlineStr">
        <is>
          <t>615294</t>
        </is>
      </c>
      <c r="E238" s="8" t="inlineStr">
        <is>
          <t>OMIM:615294</t>
        </is>
      </c>
      <c r="F238" s="8" t="inlineStr">
        <is>
          <t>OMIM phenotype entry</t>
        </is>
      </c>
      <c r="G238" s="8" t="inlineStr">
        <is>
          <t>Motile</t>
        </is>
      </c>
      <c r="H238" s="8" t="inlineStr">
        <is>
          <t>Motile cilia / laterality</t>
        </is>
      </c>
      <c r="I238" s="8" t="inlineStr">
        <is>
          <t>DRC1</t>
        </is>
      </c>
      <c r="J238" s="8" t="inlineStr">
        <is>
          <t>AR</t>
        </is>
      </c>
      <c r="K238" s="8" t="inlineStr">
        <is>
          <t>Ears; Immune system; Head and neck; Respiratory; Skeletal</t>
        </is>
      </c>
      <c r="L238" s="8" t="n">
        <v>8</v>
      </c>
      <c r="M238" s="8" t="inlineStr">
        <is>
          <t>HP:0012265; HP:0002110; HP:0033036; HP:0000403; HP:0006532; HP:0100750; HP:0011109; HP:0002643</t>
        </is>
      </c>
      <c r="N238" s="8" t="inlineStr">
        <is>
          <t>Yes</t>
        </is>
      </c>
      <c r="O238" s="8" t="n"/>
      <c r="P238" s="8" t="n"/>
    </row>
    <row r="239">
      <c r="A239" s="8" t="inlineStr">
        <is>
          <t>CILP_0238</t>
        </is>
      </c>
      <c r="B239" s="8" t="inlineStr">
        <is>
          <t>Primary Ciliary Dyskinesia</t>
        </is>
      </c>
      <c r="C239" s="8" t="inlineStr">
        <is>
          <t>CILD22</t>
        </is>
      </c>
      <c r="D239" s="8" t="inlineStr">
        <is>
          <t>615444</t>
        </is>
      </c>
      <c r="E239" s="8" t="inlineStr">
        <is>
          <t>OMIM:615444</t>
        </is>
      </c>
      <c r="F239" s="8" t="inlineStr">
        <is>
          <t>OMIM phenotype entry</t>
        </is>
      </c>
      <c r="G239" s="8" t="inlineStr">
        <is>
          <t>Motile</t>
        </is>
      </c>
      <c r="H239" s="8" t="inlineStr">
        <is>
          <t>Motile cilia / laterality</t>
        </is>
      </c>
      <c r="I239" s="8" t="inlineStr">
        <is>
          <t>ZMYND10</t>
        </is>
      </c>
      <c r="J239" s="8" t="inlineStr">
        <is>
          <t>AR</t>
        </is>
      </c>
      <c r="K239" s="8" t="inlineStr">
        <is>
          <t>Ears; Cardiovascular; Genitourinary; Immune system; Head and neck; Respiratory; Skeletal</t>
        </is>
      </c>
      <c r="L239" s="8" t="n">
        <v>17</v>
      </c>
      <c r="M239" s="8" t="inlineStr">
        <is>
          <t>HP:0001696; HP:0001651; HP:0002110; HP:0033036; HP:0012207; HP:0100582; HP:0011108; HP:0012259; HP:0200073; HP:0012265; HP:0012384; HP:0012263; HP:0000789; HP:0000403; HP:0002205; HP:0002643; HP:0004469</t>
        </is>
      </c>
      <c r="N239" s="8" t="inlineStr">
        <is>
          <t>Yes</t>
        </is>
      </c>
      <c r="O239" s="8" t="n"/>
      <c r="P239" s="8" t="n"/>
    </row>
    <row r="240">
      <c r="A240" s="8" t="inlineStr">
        <is>
          <t>CILP_0239</t>
        </is>
      </c>
      <c r="B240" s="8" t="inlineStr">
        <is>
          <t>Primary Ciliary Dyskinesia</t>
        </is>
      </c>
      <c r="C240" s="8" t="inlineStr">
        <is>
          <t>CILD23</t>
        </is>
      </c>
      <c r="D240" s="8" t="inlineStr">
        <is>
          <t>615451</t>
        </is>
      </c>
      <c r="E240" s="8" t="inlineStr">
        <is>
          <t>OMIM:615451</t>
        </is>
      </c>
      <c r="F240" s="8" t="inlineStr">
        <is>
          <t>OMIM phenotype entry</t>
        </is>
      </c>
      <c r="G240" s="8" t="inlineStr">
        <is>
          <t>Motile</t>
        </is>
      </c>
      <c r="H240" s="8" t="inlineStr">
        <is>
          <t>Motile cilia / laterality</t>
        </is>
      </c>
      <c r="I240" s="8" t="inlineStr">
        <is>
          <t>ODAD2</t>
        </is>
      </c>
      <c r="J240" s="8" t="inlineStr">
        <is>
          <t>AR</t>
        </is>
      </c>
      <c r="K240" s="8" t="inlineStr">
        <is>
          <t>Ears; Cardiovascular; Immune system; Head and neck; Respiratory; Skeletal</t>
        </is>
      </c>
      <c r="L240" s="8" t="n">
        <v>11</v>
      </c>
      <c r="M240" s="8" t="inlineStr">
        <is>
          <t>HP:0200073; HP:0012265; HP:0002257; HP:0001696; HP:0002110; HP:0000403; HP:0031245; HP:0006532; HP:0011108; HP:0002643; HP:0004469</t>
        </is>
      </c>
      <c r="N240" s="8" t="inlineStr">
        <is>
          <t>Yes</t>
        </is>
      </c>
      <c r="O240" s="8" t="n"/>
      <c r="P240" s="8" t="n"/>
    </row>
    <row r="241">
      <c r="A241" s="8" t="inlineStr">
        <is>
          <t>CILP_0240</t>
        </is>
      </c>
      <c r="B241" s="8" t="inlineStr">
        <is>
          <t>Primary Ciliary Dyskinesia</t>
        </is>
      </c>
      <c r="C241" s="8" t="inlineStr">
        <is>
          <t>CILD24</t>
        </is>
      </c>
      <c r="D241" s="8" t="inlineStr">
        <is>
          <t>615481</t>
        </is>
      </c>
      <c r="E241" s="8" t="inlineStr">
        <is>
          <t>OMIM:615481</t>
        </is>
      </c>
      <c r="F241" s="8" t="inlineStr">
        <is>
          <t>OMIM phenotype entry</t>
        </is>
      </c>
      <c r="G241" s="8" t="inlineStr">
        <is>
          <t>Motile</t>
        </is>
      </c>
      <c r="H241" s="8" t="inlineStr">
        <is>
          <t>Motile cilia / laterality</t>
        </is>
      </c>
      <c r="I241" s="8" t="inlineStr">
        <is>
          <t>RSPH1</t>
        </is>
      </c>
      <c r="J241" s="8" t="inlineStr">
        <is>
          <t>AR</t>
        </is>
      </c>
      <c r="K241" s="8" t="inlineStr">
        <is>
          <t>Ears; Cardiovascular; Genitourinary; Immune system; Head and neck; Respiratory; Skeletal</t>
        </is>
      </c>
      <c r="L241" s="8" t="n">
        <v>11</v>
      </c>
      <c r="M241" s="8" t="inlineStr">
        <is>
          <t>HP:0012265; HP:0002257; HP:0001696; HP:0002110; HP:0012263; HP:0000789; HP:0033036; HP:0000403; HP:0006510; HP:0011108; HP:0002643</t>
        </is>
      </c>
      <c r="N241" s="8" t="inlineStr">
        <is>
          <t>Yes</t>
        </is>
      </c>
      <c r="O241" s="8" t="n"/>
      <c r="P241" s="8" t="n"/>
    </row>
    <row r="242">
      <c r="A242" s="8" t="inlineStr">
        <is>
          <t>CILP_0241</t>
        </is>
      </c>
      <c r="B242" s="8" t="inlineStr">
        <is>
          <t>Primary Ciliary Dyskinesia</t>
        </is>
      </c>
      <c r="C242" s="8" t="inlineStr">
        <is>
          <t>CILD25</t>
        </is>
      </c>
      <c r="D242" s="8" t="inlineStr">
        <is>
          <t>615482</t>
        </is>
      </c>
      <c r="E242" s="8" t="inlineStr">
        <is>
          <t>OMIM:615482</t>
        </is>
      </c>
      <c r="F242" s="8" t="inlineStr">
        <is>
          <t>OMIM phenotype entry</t>
        </is>
      </c>
      <c r="G242" s="8" t="inlineStr">
        <is>
          <t>Motile</t>
        </is>
      </c>
      <c r="H242" s="8" t="inlineStr">
        <is>
          <t>Motile cilia / laterality</t>
        </is>
      </c>
      <c r="I242" s="8" t="inlineStr">
        <is>
          <t>DNAAF4</t>
        </is>
      </c>
      <c r="J242" s="8" t="inlineStr">
        <is>
          <t>AR</t>
        </is>
      </c>
      <c r="K242" s="8" t="inlineStr">
        <is>
          <t>Abdomen; Ears; Cardiovascular; Genitourinary; Immune system; Head and neck; Nervous system; Respiratory; Skeletal</t>
        </is>
      </c>
      <c r="L242" s="8" t="n">
        <v>19</v>
      </c>
      <c r="M242" s="8" t="inlineStr">
        <is>
          <t>HP:0000252; HP:0002257; HP:0001696; HP:0001651; HP:0002110; HP:0002020; HP:0031245; HP:0034315; HP:0011108; HP:0012265; HP:0012263; HP:0000789; HP:0000403; HP:0001748; HP:0006532; HP:0006510; HP:0002205; HP:0002643; HP:0004469</t>
        </is>
      </c>
      <c r="N242" s="8" t="inlineStr">
        <is>
          <t>Yes</t>
        </is>
      </c>
      <c r="O242" s="8" t="n"/>
      <c r="P242" s="8" t="n"/>
    </row>
    <row r="243">
      <c r="A243" s="8" t="inlineStr">
        <is>
          <t>CILP_0242</t>
        </is>
      </c>
      <c r="B243" s="8" t="inlineStr">
        <is>
          <t>Primary Ciliary Dyskinesia</t>
        </is>
      </c>
      <c r="C243" s="8" t="inlineStr">
        <is>
          <t>CILD26</t>
        </is>
      </c>
      <c r="D243" s="8" t="inlineStr">
        <is>
          <t>615500</t>
        </is>
      </c>
      <c r="E243" s="8" t="inlineStr">
        <is>
          <t>OMIM:615500</t>
        </is>
      </c>
      <c r="F243" s="8" t="inlineStr">
        <is>
          <t>OMIM phenotype entry</t>
        </is>
      </c>
      <c r="G243" s="8" t="inlineStr">
        <is>
          <t>Motile</t>
        </is>
      </c>
      <c r="H243" s="8" t="inlineStr">
        <is>
          <t>Motile cilia / laterality</t>
        </is>
      </c>
      <c r="I243" s="8" t="inlineStr">
        <is>
          <t>CFAP298</t>
        </is>
      </c>
      <c r="J243" s="8" t="inlineStr">
        <is>
          <t>AR</t>
        </is>
      </c>
      <c r="K243" s="8" t="inlineStr">
        <is>
          <t>Ears; Cardiovascular; Genitourinary; Immune system; Head and neck; Respiratory; Skeletal</t>
        </is>
      </c>
      <c r="L243" s="8" t="n">
        <v>15</v>
      </c>
      <c r="M243" s="8" t="inlineStr">
        <is>
          <t>HP:0001696; HP:0002110; HP:0033036; HP:0012207; HP:0011108; HP:0200073; HP:0012265; HP:0012256; HP:0012384; HP:0012263; HP:0000789; HP:0000403; HP:0002205; HP:0002643; HP:0004469</t>
        </is>
      </c>
      <c r="N243" s="8" t="inlineStr">
        <is>
          <t>Yes</t>
        </is>
      </c>
      <c r="O243" s="8" t="n"/>
      <c r="P243" s="8" t="n"/>
    </row>
    <row r="244">
      <c r="A244" s="8" t="inlineStr">
        <is>
          <t>CILP_0243</t>
        </is>
      </c>
      <c r="B244" s="8" t="inlineStr">
        <is>
          <t>Primary Ciliary Dyskinesia</t>
        </is>
      </c>
      <c r="C244" s="8" t="inlineStr">
        <is>
          <t>CILD27</t>
        </is>
      </c>
      <c r="D244" s="8" t="inlineStr">
        <is>
          <t>615504</t>
        </is>
      </c>
      <c r="E244" s="8" t="inlineStr">
        <is>
          <t>OMIM:615504</t>
        </is>
      </c>
      <c r="F244" s="8" t="inlineStr">
        <is>
          <t>OMIM phenotype entry</t>
        </is>
      </c>
      <c r="G244" s="8" t="inlineStr">
        <is>
          <t>Motile</t>
        </is>
      </c>
      <c r="H244" s="8" t="inlineStr">
        <is>
          <t>Motile cilia / laterality</t>
        </is>
      </c>
      <c r="I244" s="8" t="inlineStr">
        <is>
          <t>CCDC65</t>
        </is>
      </c>
      <c r="J244" s="8" t="inlineStr">
        <is>
          <t>AR</t>
        </is>
      </c>
      <c r="K244" s="8" t="inlineStr">
        <is>
          <t>Ears; Cardiovascular; Immune system; Head and neck; Respiratory; Skeletal</t>
        </is>
      </c>
      <c r="L244" s="8" t="n">
        <v>12</v>
      </c>
      <c r="M244" s="8" t="inlineStr">
        <is>
          <t>HP:0001696; HP:0002110; HP:0033036; HP:0011109; HP:0011108; HP:0200073; HP:0012265; HP:0012384; HP:0000403; HP:0002205; HP:0002643; HP:0004469</t>
        </is>
      </c>
      <c r="N244" s="8" t="inlineStr">
        <is>
          <t>Yes</t>
        </is>
      </c>
      <c r="O244" s="8" t="n"/>
      <c r="P244" s="8" t="n"/>
    </row>
    <row r="245">
      <c r="A245" s="8" t="inlineStr">
        <is>
          <t>CILP_0244</t>
        </is>
      </c>
      <c r="B245" s="8" t="inlineStr">
        <is>
          <t>Primary Ciliary Dyskinesia</t>
        </is>
      </c>
      <c r="C245" s="8" t="inlineStr">
        <is>
          <t>CILD28</t>
        </is>
      </c>
      <c r="D245" s="8" t="inlineStr">
        <is>
          <t>615505</t>
        </is>
      </c>
      <c r="E245" s="8" t="inlineStr">
        <is>
          <t>OMIM:615505</t>
        </is>
      </c>
      <c r="F245" s="8" t="inlineStr">
        <is>
          <t>OMIM phenotype entry</t>
        </is>
      </c>
      <c r="G245" s="8" t="inlineStr">
        <is>
          <t>Motile</t>
        </is>
      </c>
      <c r="H245" s="8" t="inlineStr">
        <is>
          <t>Motile cilia / laterality</t>
        </is>
      </c>
      <c r="I245" s="8" t="inlineStr">
        <is>
          <t>SPAG1</t>
        </is>
      </c>
      <c r="J245" s="8" t="inlineStr">
        <is>
          <t>AR</t>
        </is>
      </c>
      <c r="K245" s="8" t="inlineStr">
        <is>
          <t>Ears; Cardiovascular; Immune system; Head and neck; Respiratory; Skeletal</t>
        </is>
      </c>
      <c r="L245" s="8" t="n">
        <v>12</v>
      </c>
      <c r="M245" s="8" t="inlineStr">
        <is>
          <t>HP:0001696; HP:0002110; HP:0033036; HP:0011108; HP:0200073; HP:0012265; HP:0012255; HP:0012384; HP:0000403; HP:0002205; HP:0002643; HP:0004469</t>
        </is>
      </c>
      <c r="N245" s="8" t="inlineStr">
        <is>
          <t>Yes</t>
        </is>
      </c>
      <c r="O245" s="8" t="n"/>
      <c r="P245" s="8" t="n"/>
    </row>
    <row r="246">
      <c r="A246" s="8" t="inlineStr">
        <is>
          <t>CILP_0245</t>
        </is>
      </c>
      <c r="B246" s="8" t="inlineStr">
        <is>
          <t>Primary Ciliary Dyskinesia</t>
        </is>
      </c>
      <c r="C246" s="8" t="inlineStr">
        <is>
          <t>CILD29</t>
        </is>
      </c>
      <c r="D246" s="8" t="inlineStr">
        <is>
          <t>615872</t>
        </is>
      </c>
      <c r="E246" s="8" t="inlineStr">
        <is>
          <t>OMIM:615872</t>
        </is>
      </c>
      <c r="F246" s="8" t="inlineStr">
        <is>
          <t>OMIM phenotype entry</t>
        </is>
      </c>
      <c r="G246" s="8" t="inlineStr">
        <is>
          <t>Motile</t>
        </is>
      </c>
      <c r="H246" s="8" t="inlineStr">
        <is>
          <t>Motile cilia / laterality</t>
        </is>
      </c>
      <c r="I246" s="8" t="inlineStr">
        <is>
          <t>CCNO</t>
        </is>
      </c>
      <c r="J246" s="8" t="inlineStr">
        <is>
          <t>AR</t>
        </is>
      </c>
      <c r="K246" s="8" t="inlineStr">
        <is>
          <t>Cardiovascular; Genitourinary; Immune system; Metabolism; Respiratory</t>
        </is>
      </c>
      <c r="L246" s="8" t="n">
        <v>9</v>
      </c>
      <c r="M246" s="8" t="inlineStr">
        <is>
          <t>HP:0012265; HP:0004313; HP:0001696; HP:0002110; HP:0000789; HP:0033036; HP:0002205; HP:0100750; HP:0012236</t>
        </is>
      </c>
      <c r="N246" s="8" t="inlineStr">
        <is>
          <t>Yes</t>
        </is>
      </c>
      <c r="O246" s="8" t="n"/>
      <c r="P246" s="8" t="n"/>
    </row>
    <row r="247">
      <c r="A247" s="8" t="inlineStr">
        <is>
          <t>CILP_0246</t>
        </is>
      </c>
      <c r="B247" s="8" t="inlineStr">
        <is>
          <t>Primary Ciliary Dyskinesia</t>
        </is>
      </c>
      <c r="C247" s="8" t="inlineStr">
        <is>
          <t>CILD30</t>
        </is>
      </c>
      <c r="D247" s="8" t="inlineStr">
        <is>
          <t>616037</t>
        </is>
      </c>
      <c r="E247" s="8" t="inlineStr">
        <is>
          <t>OMIM:616037</t>
        </is>
      </c>
      <c r="F247" s="8" t="inlineStr">
        <is>
          <t>OMIM phenotype entry</t>
        </is>
      </c>
      <c r="G247" s="8" t="inlineStr">
        <is>
          <t>Motile</t>
        </is>
      </c>
      <c r="H247" s="8" t="inlineStr">
        <is>
          <t>Motile cilia / laterality</t>
        </is>
      </c>
      <c r="I247" s="8" t="inlineStr">
        <is>
          <t>ODAD3</t>
        </is>
      </c>
      <c r="J247" s="8" t="inlineStr">
        <is>
          <t>AR</t>
        </is>
      </c>
      <c r="K247" s="8" t="inlineStr">
        <is>
          <t>Ears; Cardiovascular; Immune system; Head and neck; Respiratory; Skeletal</t>
        </is>
      </c>
      <c r="L247" s="8" t="n">
        <v>17</v>
      </c>
      <c r="M247" s="8" t="inlineStr">
        <is>
          <t>HP:0001696; HP:0001651; HP:0002099; HP:0002110; HP:0033036; HP:0012735; HP:0100582; HP:0002093; HP:0011109; HP:0200073; HP:0012265; HP:0012256; HP:0001629; HP:0000403; HP:0001742; HP:0002205; HP:0004469</t>
        </is>
      </c>
      <c r="N247" s="8" t="inlineStr">
        <is>
          <t>Yes</t>
        </is>
      </c>
      <c r="O247" s="8" t="n"/>
      <c r="P247" s="8" t="n"/>
    </row>
    <row r="248">
      <c r="A248" s="8" t="inlineStr">
        <is>
          <t>CILP_0247</t>
        </is>
      </c>
      <c r="B248" s="8" t="inlineStr">
        <is>
          <t>Primary Ciliary Dyskinesia</t>
        </is>
      </c>
      <c r="C248" s="8" t="inlineStr">
        <is>
          <t>CILD32</t>
        </is>
      </c>
      <c r="D248" s="8" t="inlineStr">
        <is>
          <t>616481</t>
        </is>
      </c>
      <c r="E248" s="8" t="inlineStr">
        <is>
          <t>OMIM:616481</t>
        </is>
      </c>
      <c r="F248" s="8" t="inlineStr">
        <is>
          <t>OMIM phenotype entry</t>
        </is>
      </c>
      <c r="G248" s="8" t="inlineStr">
        <is>
          <t>Motile</t>
        </is>
      </c>
      <c r="H248" s="8" t="inlineStr">
        <is>
          <t>Motile cilia / laterality</t>
        </is>
      </c>
      <c r="I248" s="8" t="inlineStr">
        <is>
          <t>RSPH3</t>
        </is>
      </c>
      <c r="J248" s="8" t="inlineStr">
        <is>
          <t>AR</t>
        </is>
      </c>
      <c r="K248" s="8" t="inlineStr">
        <is>
          <t>Ears; Cardiovascular; Genitourinary; Immune system; Head and neck; Respiratory; Skeletal</t>
        </is>
      </c>
      <c r="L248" s="8" t="n">
        <v>13</v>
      </c>
      <c r="M248" s="8" t="inlineStr">
        <is>
          <t>HP:0002257; HP:0001696; HP:0002110; HP:0033036; HP:0011109; HP:0012265; HP:0012267; HP:0012263; HP:0000789; HP:0000403; HP:0006510; HP:0002205; HP:0002643</t>
        </is>
      </c>
      <c r="N248" s="8" t="inlineStr">
        <is>
          <t>Yes</t>
        </is>
      </c>
      <c r="O248" s="8" t="n"/>
      <c r="P248" s="8" t="n"/>
    </row>
    <row r="249">
      <c r="A249" s="8" t="inlineStr">
        <is>
          <t>CILP_0248</t>
        </is>
      </c>
      <c r="B249" s="8" t="inlineStr">
        <is>
          <t>Primary Ciliary Dyskinesia</t>
        </is>
      </c>
      <c r="C249" s="8" t="inlineStr">
        <is>
          <t>CILD33</t>
        </is>
      </c>
      <c r="D249" s="8" t="inlineStr">
        <is>
          <t>616726</t>
        </is>
      </c>
      <c r="E249" s="8" t="inlineStr">
        <is>
          <t>OMIM:616726</t>
        </is>
      </c>
      <c r="F249" s="8" t="inlineStr">
        <is>
          <t>OMIM phenotype entry</t>
        </is>
      </c>
      <c r="G249" s="8" t="inlineStr">
        <is>
          <t>Motile</t>
        </is>
      </c>
      <c r="H249" s="8" t="inlineStr">
        <is>
          <t>Motile cilia / laterality</t>
        </is>
      </c>
      <c r="I249" s="8" t="inlineStr">
        <is>
          <t>GAS8</t>
        </is>
      </c>
      <c r="J249" s="8" t="inlineStr">
        <is>
          <t>AR</t>
        </is>
      </c>
      <c r="K249" s="8" t="inlineStr">
        <is>
          <t>Ears; Immune system; Head and neck; Respiratory</t>
        </is>
      </c>
      <c r="L249" s="8" t="n">
        <v>10</v>
      </c>
      <c r="M249" s="8" t="inlineStr">
        <is>
          <t>HP:0002257; HP:0012265; HP:0002783; HP:0002110; HP:0002837; HP:0000403; HP:0012735; HP:0006532; HP:0000405; HP:0100750</t>
        </is>
      </c>
      <c r="N249" s="8" t="inlineStr">
        <is>
          <t>Yes</t>
        </is>
      </c>
      <c r="O249" s="8" t="n"/>
      <c r="P249" s="8" t="n"/>
    </row>
    <row r="250">
      <c r="A250" s="8" t="inlineStr">
        <is>
          <t>CILP_0249</t>
        </is>
      </c>
      <c r="B250" s="8" t="inlineStr">
        <is>
          <t>Primary Ciliary Dyskinesia</t>
        </is>
      </c>
      <c r="C250" s="8" t="inlineStr">
        <is>
          <t>CILD34</t>
        </is>
      </c>
      <c r="D250" s="8" t="inlineStr">
        <is>
          <t>617091</t>
        </is>
      </c>
      <c r="E250" s="8" t="inlineStr">
        <is>
          <t>OMIM:617091</t>
        </is>
      </c>
      <c r="F250" s="8" t="inlineStr">
        <is>
          <t>OMIM phenotype entry</t>
        </is>
      </c>
      <c r="G250" s="8" t="inlineStr">
        <is>
          <t>Motile</t>
        </is>
      </c>
      <c r="H250" s="8" t="inlineStr">
        <is>
          <t>Motile cilia / laterality</t>
        </is>
      </c>
      <c r="I250" s="8" t="inlineStr">
        <is>
          <t>DNAJB13</t>
        </is>
      </c>
      <c r="J250" s="8" t="inlineStr">
        <is>
          <t>AR</t>
        </is>
      </c>
      <c r="K250" s="8" t="inlineStr">
        <is>
          <t>Genitourinary; Immune system; Head and neck; Respiratory; Skeletal</t>
        </is>
      </c>
      <c r="L250" s="8" t="n">
        <v>10</v>
      </c>
      <c r="M250" s="8" t="inlineStr">
        <is>
          <t>HP:0012264; HP:0002257; HP:0002110; HP:0003251; HP:0033036; HP:0033158; HP:0002837; HP:0012208; HP:0011108; HP:0002643</t>
        </is>
      </c>
      <c r="N250" s="8" t="inlineStr">
        <is>
          <t>Yes</t>
        </is>
      </c>
      <c r="O250" s="8" t="n"/>
      <c r="P250" s="8" t="n"/>
    </row>
    <row r="251">
      <c r="A251" s="8" t="inlineStr">
        <is>
          <t>CILP_0250</t>
        </is>
      </c>
      <c r="B251" s="8" t="inlineStr">
        <is>
          <t>Primary Ciliary Dyskinesia</t>
        </is>
      </c>
      <c r="C251" s="8" t="inlineStr">
        <is>
          <t>CILD35</t>
        </is>
      </c>
      <c r="D251" s="8" t="inlineStr">
        <is>
          <t>617092</t>
        </is>
      </c>
      <c r="E251" s="8" t="inlineStr">
        <is>
          <t>OMIM:617092</t>
        </is>
      </c>
      <c r="F251" s="8" t="inlineStr">
        <is>
          <t>OMIM phenotype entry</t>
        </is>
      </c>
      <c r="G251" s="8" t="inlineStr">
        <is>
          <t>Motile</t>
        </is>
      </c>
      <c r="H251" s="8" t="inlineStr">
        <is>
          <t>Motile cilia / laterality</t>
        </is>
      </c>
      <c r="I251" s="8" t="inlineStr">
        <is>
          <t>ODAD4</t>
        </is>
      </c>
      <c r="J251" s="8" t="inlineStr">
        <is>
          <t>AR</t>
        </is>
      </c>
      <c r="K251" s="8" t="inlineStr">
        <is>
          <t>Abdomen; Ears; Cardiovascular; Growth; Immune system; Head and neck; Respiratory; Skeletal</t>
        </is>
      </c>
      <c r="L251" s="8" t="n">
        <v>11</v>
      </c>
      <c r="M251" s="8" t="inlineStr">
        <is>
          <t>HP:0002257; HP:0001696; HP:0002110; HP:0033036; HP:0100582; HP:0031245; HP:0031565; HP:0011109; HP:0006532; HP:0000389; HP:0002643</t>
        </is>
      </c>
      <c r="N251" s="8" t="inlineStr">
        <is>
          <t>Yes</t>
        </is>
      </c>
      <c r="O251" s="8" t="n"/>
      <c r="P251" s="8" t="n"/>
    </row>
    <row r="252">
      <c r="A252" s="8" t="inlineStr">
        <is>
          <t>CILP_0251</t>
        </is>
      </c>
      <c r="B252" s="8" t="inlineStr">
        <is>
          <t>Primary Ciliary Dyskinesia</t>
        </is>
      </c>
      <c r="C252" s="8" t="inlineStr">
        <is>
          <t>CILD37</t>
        </is>
      </c>
      <c r="D252" s="8" t="inlineStr">
        <is>
          <t>617577</t>
        </is>
      </c>
      <c r="E252" s="8" t="inlineStr">
        <is>
          <t>OMIM:617577</t>
        </is>
      </c>
      <c r="F252" s="8" t="inlineStr">
        <is>
          <t>OMIM phenotype entry</t>
        </is>
      </c>
      <c r="G252" s="8" t="inlineStr">
        <is>
          <t>Motile</t>
        </is>
      </c>
      <c r="H252" s="8" t="inlineStr">
        <is>
          <t>Motile cilia / laterality</t>
        </is>
      </c>
      <c r="I252" s="8" t="inlineStr">
        <is>
          <t>DNAH1</t>
        </is>
      </c>
      <c r="J252" s="8" t="inlineStr">
        <is>
          <t>AR</t>
        </is>
      </c>
      <c r="K252" s="8" t="inlineStr">
        <is>
          <t>Ears; Cardiovascular; Endocrine; Genitourinary; Head and neck; Respiratory</t>
        </is>
      </c>
      <c r="L252" s="8" t="n">
        <v>11</v>
      </c>
      <c r="M252" s="8" t="inlineStr">
        <is>
          <t>HP:0002257; HP:0031417; HP:0000365; HP:0001696; HP:0001651; HP:0002110; HP:0030828; HP:0012020; HP:0008222; HP:0000821; HP:0000853</t>
        </is>
      </c>
      <c r="N252" s="8" t="inlineStr">
        <is>
          <t>Yes</t>
        </is>
      </c>
      <c r="O252" s="8" t="n"/>
      <c r="P252" s="8" t="n"/>
    </row>
    <row r="253">
      <c r="A253" s="8" t="inlineStr">
        <is>
          <t>CILP_0252</t>
        </is>
      </c>
      <c r="B253" s="8" t="inlineStr">
        <is>
          <t>Primary Ciliary Dyskinesia</t>
        </is>
      </c>
      <c r="C253" s="8" t="inlineStr">
        <is>
          <t>CILD38</t>
        </is>
      </c>
      <c r="D253" s="8" t="inlineStr">
        <is>
          <t>618063</t>
        </is>
      </c>
      <c r="E253" s="8" t="inlineStr">
        <is>
          <t>OMIM:618063</t>
        </is>
      </c>
      <c r="F253" s="8" t="inlineStr">
        <is>
          <t>OMIM phenotype entry</t>
        </is>
      </c>
      <c r="G253" s="8" t="inlineStr">
        <is>
          <t>Motile</t>
        </is>
      </c>
      <c r="H253" s="8" t="inlineStr">
        <is>
          <t>Motile cilia / laterality</t>
        </is>
      </c>
      <c r="I253" s="8" t="inlineStr">
        <is>
          <t>CFAP300</t>
        </is>
      </c>
      <c r="J253" s="8" t="inlineStr">
        <is>
          <t>AR</t>
        </is>
      </c>
      <c r="K253" s="8" t="inlineStr">
        <is>
          <t>Ears; Cardiovascular; Genitourinary; Immune system; Head and neck; Respiratory; Skeletal</t>
        </is>
      </c>
      <c r="L253" s="8" t="n">
        <v>13</v>
      </c>
      <c r="M253" s="8" t="inlineStr">
        <is>
          <t>HP:0001696; HP:0001651; HP:0002110; HP:0033036; HP:0031245; HP:0011109; HP:0012259; HP:0012384; HP:0012263; HP:0000789; HP:0000405; HP:0000389; HP:0002643</t>
        </is>
      </c>
      <c r="N253" s="8" t="inlineStr">
        <is>
          <t>Yes</t>
        </is>
      </c>
      <c r="O253" s="8" t="n"/>
      <c r="P253" s="8" t="n"/>
    </row>
    <row r="254">
      <c r="A254" s="8" t="inlineStr">
        <is>
          <t>CILP_0253</t>
        </is>
      </c>
      <c r="B254" s="8" t="inlineStr">
        <is>
          <t>Primary Ciliary Dyskinesia</t>
        </is>
      </c>
      <c r="C254" s="8" t="inlineStr">
        <is>
          <t>CILD39</t>
        </is>
      </c>
      <c r="D254" s="8" t="inlineStr">
        <is>
          <t>618254</t>
        </is>
      </c>
      <c r="E254" s="8" t="inlineStr">
        <is>
          <t>OMIM:618254</t>
        </is>
      </c>
      <c r="F254" s="8" t="inlineStr">
        <is>
          <t>OMIM phenotype entry</t>
        </is>
      </c>
      <c r="G254" s="8" t="inlineStr">
        <is>
          <t>Motile</t>
        </is>
      </c>
      <c r="H254" s="8" t="inlineStr">
        <is>
          <t>Motile cilia / laterality</t>
        </is>
      </c>
      <c r="I254" s="8" t="inlineStr">
        <is>
          <t>LRRC56</t>
        </is>
      </c>
      <c r="J254" s="8" t="inlineStr">
        <is>
          <t>AR</t>
        </is>
      </c>
      <c r="K254" s="8" t="inlineStr">
        <is>
          <t>Ears; Cardiovascular; Immune system; Respiratory</t>
        </is>
      </c>
      <c r="L254" s="8" t="n">
        <v>9</v>
      </c>
      <c r="M254" s="8" t="inlineStr">
        <is>
          <t>HP:0031417; HP:0006528; HP:0001651; HP:0002783; HP:0002110; HP:0001719; HP:0033036; HP:0012735; HP:0000403</t>
        </is>
      </c>
      <c r="N254" s="8" t="inlineStr">
        <is>
          <t>Yes</t>
        </is>
      </c>
      <c r="O254" s="8" t="n"/>
      <c r="P254" s="8" t="n"/>
    </row>
    <row r="255">
      <c r="A255" s="8" t="inlineStr">
        <is>
          <t>CILP_0254</t>
        </is>
      </c>
      <c r="B255" s="8" t="inlineStr">
        <is>
          <t>Primary Ciliary Dyskinesia</t>
        </is>
      </c>
      <c r="C255" s="8" t="inlineStr">
        <is>
          <t>CILD40</t>
        </is>
      </c>
      <c r="D255" s="8" t="inlineStr">
        <is>
          <t>618300</t>
        </is>
      </c>
      <c r="E255" s="8" t="inlineStr">
        <is>
          <t>OMIM:618300</t>
        </is>
      </c>
      <c r="F255" s="8" t="inlineStr">
        <is>
          <t>OMIM phenotype entry</t>
        </is>
      </c>
      <c r="G255" s="8" t="inlineStr">
        <is>
          <t>Motile</t>
        </is>
      </c>
      <c r="H255" s="8" t="inlineStr">
        <is>
          <t>Motile cilia / laterality</t>
        </is>
      </c>
      <c r="I255" s="8" t="inlineStr">
        <is>
          <t>DNAH9</t>
        </is>
      </c>
      <c r="J255" s="8" t="inlineStr">
        <is>
          <t>AR</t>
        </is>
      </c>
      <c r="K255" s="8" t="inlineStr">
        <is>
          <t>Cardiovascular; Growth; Genitourinary; Immune system; Head and neck; Respiratory; Skeletal</t>
        </is>
      </c>
      <c r="L255" s="8" t="n">
        <v>17</v>
      </c>
      <c r="M255" s="8" t="inlineStr">
        <is>
          <t>HP:0002257; HP:0001696; HP:0033036; HP:0033158; HP:0012735; HP:0011109; HP:0031854; HP:0011579; HP:0012256; HP:0011540; HP:0011671; HP:0012020; HP:0032342; HP:0000789; HP:0006695; HP:0001643; HP:0000027</t>
        </is>
      </c>
      <c r="N255" s="8" t="inlineStr">
        <is>
          <t>Yes</t>
        </is>
      </c>
      <c r="O255" s="8" t="n"/>
      <c r="P255" s="8" t="n"/>
    </row>
    <row r="256">
      <c r="A256" s="8" t="inlineStr">
        <is>
          <t>CILP_0255</t>
        </is>
      </c>
      <c r="B256" s="8" t="inlineStr">
        <is>
          <t>Primary Ciliary Dyskinesia</t>
        </is>
      </c>
      <c r="C256" s="8" t="inlineStr">
        <is>
          <t>CILD41</t>
        </is>
      </c>
      <c r="D256" s="8" t="inlineStr">
        <is>
          <t>618449</t>
        </is>
      </c>
      <c r="E256" s="8" t="inlineStr">
        <is>
          <t>OMIM:618449</t>
        </is>
      </c>
      <c r="F256" s="8" t="inlineStr">
        <is>
          <t>OMIM phenotype entry</t>
        </is>
      </c>
      <c r="G256" s="8" t="inlineStr">
        <is>
          <t>Motile</t>
        </is>
      </c>
      <c r="H256" s="8" t="inlineStr">
        <is>
          <t>Motile cilia / laterality</t>
        </is>
      </c>
      <c r="I256" s="8" t="inlineStr">
        <is>
          <t>GAS2L2</t>
        </is>
      </c>
      <c r="J256" s="8" t="inlineStr">
        <is>
          <t>AR</t>
        </is>
      </c>
      <c r="K256" s="8" t="inlineStr">
        <is>
          <t>Ears; Genitourinary; Immune system; Head and neck; Respiratory; Skeletal</t>
        </is>
      </c>
      <c r="L256" s="8" t="n">
        <v>6</v>
      </c>
      <c r="M256" s="8" t="inlineStr">
        <is>
          <t>HP:0031603; HP:0002110; HP:0000789; HP:0000403; HP:0012208; HP:0011108</t>
        </is>
      </c>
      <c r="N256" s="8" t="inlineStr">
        <is>
          <t>Yes</t>
        </is>
      </c>
      <c r="O256" s="8" t="n"/>
      <c r="P256" s="8" t="n"/>
    </row>
    <row r="257">
      <c r="A257" s="8" t="inlineStr">
        <is>
          <t>CILP_0256</t>
        </is>
      </c>
      <c r="B257" s="8" t="inlineStr">
        <is>
          <t>Primary Ciliary Dyskinesia</t>
        </is>
      </c>
      <c r="C257" s="8" t="inlineStr">
        <is>
          <t>CILD42</t>
        </is>
      </c>
      <c r="D257" s="8" t="inlineStr">
        <is>
          <t>618695</t>
        </is>
      </c>
      <c r="E257" s="8" t="inlineStr">
        <is>
          <t>OMIM:618695</t>
        </is>
      </c>
      <c r="F257" s="8" t="inlineStr">
        <is>
          <t>OMIM phenotype entry</t>
        </is>
      </c>
      <c r="G257" s="8" t="inlineStr">
        <is>
          <t>Motile</t>
        </is>
      </c>
      <c r="H257" s="8" t="inlineStr">
        <is>
          <t>Motile cilia / laterality</t>
        </is>
      </c>
      <c r="I257" s="8" t="inlineStr">
        <is>
          <t>MCIDAS</t>
        </is>
      </c>
      <c r="J257" s="8" t="inlineStr">
        <is>
          <t>AR</t>
        </is>
      </c>
      <c r="K257" s="8" t="inlineStr">
        <is>
          <t>Immune system; Head and neck; Respiratory; Skeletal</t>
        </is>
      </c>
      <c r="L257" s="8" t="n">
        <v>9</v>
      </c>
      <c r="M257" s="8" t="inlineStr">
        <is>
          <t>HP:0002257; HP:0002110; HP:0032341; HP:0033036; HP:0100582; HP:0006510; HP:0002093; HP:0002090; HP:0011108</t>
        </is>
      </c>
      <c r="N257" s="8" t="inlineStr">
        <is>
          <t>Yes</t>
        </is>
      </c>
      <c r="O257" s="8" t="n"/>
      <c r="P257" s="8" t="n"/>
    </row>
    <row r="258">
      <c r="A258" s="8" t="inlineStr">
        <is>
          <t>CILP_0257</t>
        </is>
      </c>
      <c r="B258" s="8" t="inlineStr">
        <is>
          <t>Primary Ciliary Dyskinesia</t>
        </is>
      </c>
      <c r="C258" s="8" t="inlineStr">
        <is>
          <t>CILD43</t>
        </is>
      </c>
      <c r="D258" s="8" t="inlineStr">
        <is>
          <t>618699</t>
        </is>
      </c>
      <c r="E258" s="8" t="inlineStr">
        <is>
          <t>OMIM:618699</t>
        </is>
      </c>
      <c r="F258" s="8" t="inlineStr">
        <is>
          <t>OMIM phenotype entry</t>
        </is>
      </c>
      <c r="G258" s="8" t="inlineStr">
        <is>
          <t>Motile</t>
        </is>
      </c>
      <c r="H258" s="8" t="inlineStr">
        <is>
          <t>Motile cilia / laterality</t>
        </is>
      </c>
      <c r="I258" s="8" t="inlineStr">
        <is>
          <t>FOXJ1</t>
        </is>
      </c>
      <c r="J258" s="8" t="inlineStr">
        <is>
          <t>AD</t>
        </is>
      </c>
      <c r="K258" s="8" t="inlineStr">
        <is>
          <t>Abdomen; Growth; Immune system; Head and neck; Nervous system; Respiratory; Skeletal</t>
        </is>
      </c>
      <c r="L258" s="8" t="n">
        <v>9</v>
      </c>
      <c r="M258" s="8" t="inlineStr">
        <is>
          <t>HP:0002257; HP:0002783; HP:0003363; HP:0002110; HP:0031245; HP:0002788; HP:0011109; HP:0010953; HP:0002643</t>
        </is>
      </c>
      <c r="N258" s="8" t="inlineStr">
        <is>
          <t>Yes</t>
        </is>
      </c>
      <c r="O258" s="8" t="n"/>
      <c r="P258" s="8" t="n"/>
    </row>
    <row r="259">
      <c r="A259" s="8" t="inlineStr">
        <is>
          <t>CILP_0258</t>
        </is>
      </c>
      <c r="B259" s="8" t="inlineStr">
        <is>
          <t>Primary Ciliary Dyskinesia</t>
        </is>
      </c>
      <c r="C259" s="8" t="inlineStr">
        <is>
          <t>CILD44</t>
        </is>
      </c>
      <c r="D259" s="8" t="inlineStr">
        <is>
          <t>618781</t>
        </is>
      </c>
      <c r="E259" s="8" t="inlineStr">
        <is>
          <t>OMIM:618781</t>
        </is>
      </c>
      <c r="F259" s="8" t="inlineStr">
        <is>
          <t>OMIM phenotype entry</t>
        </is>
      </c>
      <c r="G259" s="8" t="inlineStr">
        <is>
          <t>Motile</t>
        </is>
      </c>
      <c r="H259" s="8" t="inlineStr">
        <is>
          <t>Motile cilia / laterality</t>
        </is>
      </c>
      <c r="I259" s="8" t="inlineStr">
        <is>
          <t>NEK10</t>
        </is>
      </c>
      <c r="J259" s="8" t="inlineStr">
        <is>
          <t>AR</t>
        </is>
      </c>
      <c r="K259" s="8" t="inlineStr">
        <is>
          <t>Ears; Growth; Immune system; Head and neck; Metabolism; Respiratory; Skeletal</t>
        </is>
      </c>
      <c r="L259" s="8" t="n">
        <v>9</v>
      </c>
      <c r="M259" s="8" t="inlineStr">
        <is>
          <t>HP:0030853; HP:0002110; HP:0032341; HP:0032342; HP:0033036; HP:0011108; HP:0040128; HP:0000388; HP:0002643</t>
        </is>
      </c>
      <c r="N259" s="8" t="inlineStr">
        <is>
          <t>Yes</t>
        </is>
      </c>
      <c r="O259" s="8" t="n"/>
      <c r="P259" s="8" t="n"/>
    </row>
    <row r="260">
      <c r="A260" s="8" t="inlineStr">
        <is>
          <t>CILP_0259</t>
        </is>
      </c>
      <c r="B260" s="8" t="inlineStr">
        <is>
          <t>Primary Ciliary Dyskinesia</t>
        </is>
      </c>
      <c r="C260" s="8" t="inlineStr">
        <is>
          <t>CILD45</t>
        </is>
      </c>
      <c r="D260" s="8" t="inlineStr">
        <is>
          <t>618801</t>
        </is>
      </c>
      <c r="E260" s="8" t="inlineStr">
        <is>
          <t>OMIM:618801</t>
        </is>
      </c>
      <c r="F260" s="8" t="inlineStr">
        <is>
          <t>OMIM phenotype entry</t>
        </is>
      </c>
      <c r="G260" s="8" t="inlineStr">
        <is>
          <t>Motile</t>
        </is>
      </c>
      <c r="H260" s="8" t="inlineStr">
        <is>
          <t>Motile cilia / laterality</t>
        </is>
      </c>
      <c r="I260" s="8" t="inlineStr">
        <is>
          <t>TTC12</t>
        </is>
      </c>
      <c r="J260" s="8" t="inlineStr">
        <is>
          <t>AR</t>
        </is>
      </c>
      <c r="K260" s="8" t="inlineStr">
        <is>
          <t>Genitourinary; Immune system; Head and neck; Respiratory</t>
        </is>
      </c>
      <c r="L260" s="8" t="n">
        <v>6</v>
      </c>
      <c r="M260" s="8" t="inlineStr">
        <is>
          <t>HP:0002257; HP:0002110; HP:0003251; HP:0012263; HP:0002205; HP:0012259</t>
        </is>
      </c>
      <c r="N260" s="8" t="inlineStr">
        <is>
          <t>Yes</t>
        </is>
      </c>
      <c r="O260" s="8" t="n"/>
      <c r="P260" s="8" t="n"/>
    </row>
    <row r="261">
      <c r="A261" s="8" t="inlineStr">
        <is>
          <t>CILP_0260</t>
        </is>
      </c>
      <c r="B261" s="8" t="inlineStr">
        <is>
          <t>Primary Ciliary Dyskinesia</t>
        </is>
      </c>
      <c r="C261" s="8" t="inlineStr">
        <is>
          <t>CILD46</t>
        </is>
      </c>
      <c r="D261" s="8" t="inlineStr">
        <is>
          <t>619436</t>
        </is>
      </c>
      <c r="E261" s="8" t="inlineStr">
        <is>
          <t>OMIM:619436</t>
        </is>
      </c>
      <c r="F261" s="8" t="inlineStr">
        <is>
          <t>OMIM phenotype entry</t>
        </is>
      </c>
      <c r="G261" s="8" t="inlineStr">
        <is>
          <t>Motile</t>
        </is>
      </c>
      <c r="H261" s="8" t="inlineStr">
        <is>
          <t>Motile cilia / laterality</t>
        </is>
      </c>
      <c r="I261" s="8" t="inlineStr">
        <is>
          <t>STK36</t>
        </is>
      </c>
      <c r="J261" s="8" t="inlineStr">
        <is>
          <t>AR</t>
        </is>
      </c>
      <c r="K261" s="8" t="inlineStr">
        <is>
          <t>Ears; Genitourinary; Immune system; Head and neck; Respiratory; Skeletal</t>
        </is>
      </c>
      <c r="L261" s="8" t="n">
        <v>9</v>
      </c>
      <c r="M261" s="8" t="inlineStr">
        <is>
          <t>HP:0012265; HP:0000365; HP:0002110; HP:0032341; HP:0032342; HP:0000403; HP:0012207; HP:0006532; HP:0011108</t>
        </is>
      </c>
      <c r="N261" s="8" t="inlineStr">
        <is>
          <t>Yes</t>
        </is>
      </c>
      <c r="O261" s="8" t="n"/>
      <c r="P261" s="8" t="n"/>
    </row>
    <row r="262">
      <c r="A262" s="8" t="inlineStr">
        <is>
          <t>CILP_0261</t>
        </is>
      </c>
      <c r="B262" s="8" t="inlineStr">
        <is>
          <t>Primary Ciliary Dyskinesia</t>
        </is>
      </c>
      <c r="C262" s="8" t="inlineStr">
        <is>
          <t>CILD47</t>
        </is>
      </c>
      <c r="D262" s="8" t="inlineStr">
        <is>
          <t>619466</t>
        </is>
      </c>
      <c r="E262" s="8" t="inlineStr">
        <is>
          <t>OMIM:619466</t>
        </is>
      </c>
      <c r="F262" s="8" t="inlineStr">
        <is>
          <t>OMIM phenotype entry</t>
        </is>
      </c>
      <c r="G262" s="8" t="inlineStr">
        <is>
          <t>Motile</t>
        </is>
      </c>
      <c r="H262" s="8" t="inlineStr">
        <is>
          <t>Motile cilia / laterality</t>
        </is>
      </c>
      <c r="I262" s="8" t="inlineStr">
        <is>
          <t>TP73</t>
        </is>
      </c>
      <c r="J262" s="8" t="inlineStr">
        <is>
          <t>AR</t>
        </is>
      </c>
      <c r="K262" s="8" t="inlineStr">
        <is>
          <t>Ears; Immune system; Nervous system; Respiratory</t>
        </is>
      </c>
      <c r="L262" s="8" t="n">
        <v>10</v>
      </c>
      <c r="M262" s="8" t="inlineStr">
        <is>
          <t>HP:0002079; HP:0002098; HP:0001250; HP:0002110; HP:0001274; HP:0001339; HP:0000389; HP:0002205; HP:0100750; HP:0031602</t>
        </is>
      </c>
      <c r="N262" s="8" t="inlineStr">
        <is>
          <t>Yes</t>
        </is>
      </c>
      <c r="O262" s="8" t="n"/>
      <c r="P262" s="8" t="n"/>
    </row>
    <row r="263">
      <c r="A263" s="8" t="inlineStr">
        <is>
          <t>CILP_0262</t>
        </is>
      </c>
      <c r="B263" s="8" t="inlineStr">
        <is>
          <t>Primary Ciliary Dyskinesia</t>
        </is>
      </c>
      <c r="C263" s="8" t="inlineStr">
        <is>
          <t>CILD</t>
        </is>
      </c>
      <c r="D263" s="8" t="n"/>
      <c r="E263" s="8" t="inlineStr">
        <is>
          <t>ORPHA:244</t>
        </is>
      </c>
      <c r="F263" s="8" t="inlineStr">
        <is>
          <t>Orphanet entry (matched by disease name)</t>
        </is>
      </c>
      <c r="G263" s="8" t="inlineStr">
        <is>
          <t>Motile</t>
        </is>
      </c>
      <c r="H263" s="8" t="inlineStr">
        <is>
          <t>Motile cilia / laterality</t>
        </is>
      </c>
      <c r="I263" s="8" t="inlineStr">
        <is>
          <t>AKNA; BRWD1; CEP164; CFAP206; CFAP221; CFAP54; CFAP57; CFAP74; CRHR1; DNAH14; DNAH7; DYNLRB2; GOLGA3; IFT46; KRT34; NME5; NME7; OFD1; RSPH3; SPAG16; SPAG6; SPEF2; USP11; WDR16</t>
        </is>
      </c>
      <c r="J263" s="8" t="inlineStr">
        <is>
          <t>Autosomal recessive</t>
        </is>
      </c>
      <c r="K263" s="8" t="inlineStr">
        <is>
          <t>Abdomen; Eyes; Ears; Cardiovascular; Genitourinary; Immune system; Head and neck; Limbs; Nervous system; Respiratory; Skeletal</t>
        </is>
      </c>
      <c r="L263" s="8" t="n">
        <v>46</v>
      </c>
      <c r="M263" s="8" t="inlineStr">
        <is>
          <t>HP:0000389; HP:0000403; HP:0001742; HP:0002257; HP:0002643; HP:0003251; HP:0005425; HP:0011109; HP:0011947; HP:0012206; HP:0031245; HP:0032016; HP:0100582; HP:0000119; HP:0000365; HP:0000405; HP:0000750; HP:0000924; HP:0001217; HP:0001627; HP:0001696; HP:0002011; HP:0002110; HP:0006536; HP:0008222; HP:0011274; HP:0011617; HP:0025177; HP:0030680; HP:0030828; HP:0032543; HP:0100750; HP:0000238; HP:0000510; HP:0001669; HP:0001719; HP:0001746; HP:0001748; HP:0002119; HP:0002566; HP:0002878; HP:0005301; HP:0010772; HP:0011535; HP:0011539; HP:0025576</t>
        </is>
      </c>
      <c r="N263" s="8" t="inlineStr">
        <is>
          <t>Yes</t>
        </is>
      </c>
      <c r="O263" s="8" t="n"/>
      <c r="P263" s="8" t="n"/>
    </row>
    <row r="264">
      <c r="A264" s="8" t="inlineStr">
        <is>
          <t>CILP_0263</t>
        </is>
      </c>
      <c r="B264" s="8" t="inlineStr">
        <is>
          <t>RHYNS  Syndrome</t>
        </is>
      </c>
      <c r="C264" s="8" t="inlineStr">
        <is>
          <t>RHYNS</t>
        </is>
      </c>
      <c r="D264" s="8" t="inlineStr">
        <is>
          <t>602152</t>
        </is>
      </c>
      <c r="E264" s="8" t="inlineStr">
        <is>
          <t>OMIM:602152</t>
        </is>
      </c>
      <c r="F264" s="8" t="inlineStr">
        <is>
          <t>OMIM phenotype entry</t>
        </is>
      </c>
      <c r="G264" s="8" t="inlineStr">
        <is>
          <t>Primary</t>
        </is>
      </c>
      <c r="H264" s="8" t="inlineStr">
        <is>
          <t>General / needs curation</t>
        </is>
      </c>
      <c r="I264" s="8" t="inlineStr">
        <is>
          <t>TMEM67</t>
        </is>
      </c>
      <c r="J264" s="8" t="inlineStr">
        <is>
          <t>AR</t>
        </is>
      </c>
      <c r="K264" s="8" t="inlineStr">
        <is>
          <t>Eyes; Ears; Endocrine; Growth; Genitourinary; Head and neck; Limbs; Nervous system; Skeletal</t>
        </is>
      </c>
      <c r="L264" s="8" t="n">
        <v>24</v>
      </c>
      <c r="M264" s="8" t="inlineStr">
        <is>
          <t>HP:0002684; HP:0004322; HP:0001156; HP:0000083; HP:0012622; HP:0100864; HP:0000939; HP:0000938; HP:0000510; HP:0000577; HP:0000830; HP:0007824; HP:0002652; HP:0003026; HP:0002750; HP:0000490; HP:0034323; HP:0000090; HP:0000407; HP:0000508; HP:0008245; HP:0000824; HP:0000405; HP:0002986</t>
        </is>
      </c>
      <c r="N264" s="8" t="inlineStr">
        <is>
          <t>No</t>
        </is>
      </c>
      <c r="O264" s="8" t="inlineStr">
        <is>
          <t>Disease family with fewer than 5 entries</t>
        </is>
      </c>
      <c r="P264" s="8" t="n"/>
    </row>
    <row r="265">
      <c r="A265" s="8" t="inlineStr">
        <is>
          <t>CILP_0264</t>
        </is>
      </c>
      <c r="B265" s="8" t="inlineStr">
        <is>
          <t>Renal-hepatic-pancreatic Dysplasia</t>
        </is>
      </c>
      <c r="C265" s="8" t="inlineStr">
        <is>
          <t>RHPD1</t>
        </is>
      </c>
      <c r="D265" s="8" t="inlineStr">
        <is>
          <t>208540</t>
        </is>
      </c>
      <c r="E265" s="8" t="inlineStr">
        <is>
          <t>OMIM:208540</t>
        </is>
      </c>
      <c r="F265" s="8" t="inlineStr">
        <is>
          <t>OMIM phenotype entry</t>
        </is>
      </c>
      <c r="G265" s="8" t="inlineStr">
        <is>
          <t>Primary</t>
        </is>
      </c>
      <c r="H265" s="8" t="inlineStr">
        <is>
          <t>Renal-hepatic ciliopathy</t>
        </is>
      </c>
      <c r="I265" s="8" t="inlineStr">
        <is>
          <t>NPHP3</t>
        </is>
      </c>
      <c r="J265" s="8" t="inlineStr">
        <is>
          <t>AR</t>
        </is>
      </c>
      <c r="K265" s="8" t="inlineStr">
        <is>
          <t>Abdomen; Cardiovascular; Genitourinary; Immune system; Head and neck; Nervous system; Respiratory; Skeletal; Skin</t>
        </is>
      </c>
      <c r="L265" s="8" t="n">
        <v>31</v>
      </c>
      <c r="M265" s="8" t="inlineStr">
        <is>
          <t>HP:0001650; HP:0003774; HP:0001396; HP:0004467; HP:0002089; HP:0001696; HP:0000083; HP:0001395; HP:0001394; HP:0002240; HP:0001409; HP:0001408; HP:0001746; HP:0006276; HP:0001305; HP:0001407; HP:0001748; HP:0001643; HP:0002613; HP:0000113; HP:0001744; HP:0001562; HP:0000110; HP:0100732; HP:0006563; HP:0001737; HP:0002009; HP:0001631; HP:0000105; HP:0002566; HP:0005999</t>
        </is>
      </c>
      <c r="N265" s="8" t="inlineStr">
        <is>
          <t>No</t>
        </is>
      </c>
      <c r="O265" s="8" t="inlineStr">
        <is>
          <t>Disease family with fewer than 5 entries</t>
        </is>
      </c>
      <c r="P265" s="8" t="n"/>
    </row>
    <row r="266">
      <c r="A266" s="8" t="inlineStr">
        <is>
          <t>CILP_0265</t>
        </is>
      </c>
      <c r="B266" s="8" t="inlineStr">
        <is>
          <t>Renal-hepatic-pancreatic Dysplasia</t>
        </is>
      </c>
      <c r="C266" s="8" t="inlineStr">
        <is>
          <t>RHPD2</t>
        </is>
      </c>
      <c r="D266" s="8" t="inlineStr">
        <is>
          <t>615415</t>
        </is>
      </c>
      <c r="E266" s="8" t="inlineStr">
        <is>
          <t>OMIM:615415</t>
        </is>
      </c>
      <c r="F266" s="8" t="inlineStr">
        <is>
          <t>OMIM phenotype entry</t>
        </is>
      </c>
      <c r="G266" s="8" t="inlineStr">
        <is>
          <t>Primary</t>
        </is>
      </c>
      <c r="H266" s="8" t="inlineStr">
        <is>
          <t>Renal-hepatic ciliopathy</t>
        </is>
      </c>
      <c r="I266" s="8" t="inlineStr">
        <is>
          <t>NEK8</t>
        </is>
      </c>
      <c r="J266" s="8" t="inlineStr">
        <is>
          <t>AR</t>
        </is>
      </c>
      <c r="K266" s="8" t="inlineStr">
        <is>
          <t>Abdomen; Cardiovascular; Genitourinary; Immune system; Head and neck; Limbs; Respiratory; Skeletal</t>
        </is>
      </c>
      <c r="L266" s="8" t="n">
        <v>19</v>
      </c>
      <c r="M266" s="8" t="inlineStr">
        <is>
          <t>HP:0001650; HP:0001562; HP:0001396; HP:0001660; HP:0002980; HP:0002089; HP:0001696; HP:0001762; HP:0002101; HP:0001395; HP:0002240; HP:0002280; HP:0001639; HP:0001746; HP:0000800; HP:0006563; HP:0001407; HP:0001642; HP:0000105</t>
        </is>
      </c>
      <c r="N266" s="8" t="inlineStr">
        <is>
          <t>No</t>
        </is>
      </c>
      <c r="O266" s="8" t="inlineStr">
        <is>
          <t>Disease family with fewer than 5 entries</t>
        </is>
      </c>
      <c r="P266" s="8" t="n"/>
    </row>
    <row r="267">
      <c r="A267" s="8" t="inlineStr">
        <is>
          <t>CILP_0266</t>
        </is>
      </c>
      <c r="B267" s="8" t="inlineStr">
        <is>
          <t>Renal-hepatic-pancreatic Dysplasia</t>
        </is>
      </c>
      <c r="C267" s="8" t="inlineStr">
        <is>
          <t>RHPD</t>
        </is>
      </c>
      <c r="D267" s="8" t="n"/>
      <c r="E267" s="8" t="inlineStr">
        <is>
          <t>ORPHA:294415</t>
        </is>
      </c>
      <c r="F267" s="8" t="inlineStr">
        <is>
          <t>Orphanet entry (matched by disease name)</t>
        </is>
      </c>
      <c r="G267" s="8" t="inlineStr">
        <is>
          <t>Primary</t>
        </is>
      </c>
      <c r="H267" s="8" t="inlineStr">
        <is>
          <t>Renal-hepatic ciliopathy</t>
        </is>
      </c>
      <c r="I267" s="8" t="inlineStr">
        <is>
          <t>DNAJB11</t>
        </is>
      </c>
      <c r="J267" s="8" t="inlineStr">
        <is>
          <t>Needs curation</t>
        </is>
      </c>
      <c r="K267" s="8" t="inlineStr">
        <is>
          <t>Abdomen; Cardiovascular; Endocrine; Genitourinary; Immune system; Metabolism; Respiratory; Skeletal; Skin</t>
        </is>
      </c>
      <c r="L267" s="8" t="n">
        <v>34</v>
      </c>
      <c r="M267" s="8" t="inlineStr">
        <is>
          <t>HP:0000110; HP:0002240; HP:0000083; HP:0000105; HP:0000107; HP:0001562; HP:0002643; HP:0002904; HP:0005232; HP:0006566; HP:0030146; HP:0030948; HP:0030992; HP:0031956; HP:0031964; HP:0100651; HP:0100732; HP:0000104; HP:0000952; HP:0001394; HP:0001395; HP:0001407; HP:0001642; HP:0001643; HP:0001650; HP:0001737; HP:0001744; HP:0001746; HP:0001790; HP:0002089; HP:0003312; HP:0004890; HP:0033478; HP:0410288</t>
        </is>
      </c>
      <c r="N267" s="8" t="inlineStr">
        <is>
          <t>No</t>
        </is>
      </c>
      <c r="O267" s="8" t="inlineStr">
        <is>
          <t>Disease family with fewer than 5 entries</t>
        </is>
      </c>
      <c r="P267" s="8" t="n"/>
    </row>
    <row r="268">
      <c r="A268" s="8" t="inlineStr">
        <is>
          <t>CILP_0267</t>
        </is>
      </c>
      <c r="B268" s="8" t="inlineStr">
        <is>
          <t>Retinal Dystrophy</t>
        </is>
      </c>
      <c r="C268" s="8" t="inlineStr">
        <is>
          <t>RDMS</t>
        </is>
      </c>
      <c r="D268" s="8" t="inlineStr">
        <is>
          <t>617547</t>
        </is>
      </c>
      <c r="E268" s="8" t="inlineStr">
        <is>
          <t>OMIM:617547</t>
        </is>
      </c>
      <c r="F268" s="8" t="inlineStr">
        <is>
          <t>OMIM phenotype entry</t>
        </is>
      </c>
      <c r="G268" s="8" t="inlineStr">
        <is>
          <t>Primary</t>
        </is>
      </c>
      <c r="H268" s="8" t="inlineStr">
        <is>
          <t>Retinal ciliopathy</t>
        </is>
      </c>
      <c r="I268" s="8" t="inlineStr">
        <is>
          <t>CFAP410</t>
        </is>
      </c>
      <c r="J268" s="8" t="inlineStr">
        <is>
          <t>AR</t>
        </is>
      </c>
      <c r="K268" s="8" t="inlineStr">
        <is>
          <t>Eyes; Cardiovascular; Growth; Nervous system</t>
        </is>
      </c>
      <c r="L268" s="8" t="n">
        <v>13</v>
      </c>
      <c r="M268" s="8" t="inlineStr">
        <is>
          <t>HP:0007814; HP:0007737; HP:0000662; HP:0004322; HP:0030856; HP:0100018; HP:0000613; HP:0007663; HP:0001956; HP:0000603; HP:0007787; HP:0007843; HP:0000556</t>
        </is>
      </c>
      <c r="N268" s="8" t="inlineStr">
        <is>
          <t>No</t>
        </is>
      </c>
      <c r="O268" s="8" t="inlineStr">
        <is>
          <t>Disease family with fewer than 5 entries</t>
        </is>
      </c>
      <c r="P268" s="8" t="n"/>
    </row>
    <row r="269">
      <c r="A269" s="8" t="inlineStr">
        <is>
          <t>CILP_0268</t>
        </is>
      </c>
      <c r="B269" s="8" t="inlineStr">
        <is>
          <t>Retinal Dystrophy</t>
        </is>
      </c>
      <c r="C269" s="8" t="inlineStr">
        <is>
          <t>RDMS</t>
        </is>
      </c>
      <c r="D269" s="8" t="n"/>
      <c r="E269" s="8" t="inlineStr">
        <is>
          <t>OMIM:617547</t>
        </is>
      </c>
      <c r="F269" s="8" t="inlineStr">
        <is>
          <t>Family-level record (combined OMIM entries)</t>
        </is>
      </c>
      <c r="G269" s="8" t="inlineStr">
        <is>
          <t>Primary</t>
        </is>
      </c>
      <c r="H269" s="8" t="inlineStr">
        <is>
          <t>Retinal ciliopathy</t>
        </is>
      </c>
      <c r="I269" s="8" t="inlineStr">
        <is>
          <t>CEP83; TTC21B</t>
        </is>
      </c>
      <c r="J269" s="8" t="inlineStr">
        <is>
          <t>AR</t>
        </is>
      </c>
      <c r="K269" s="8" t="inlineStr">
        <is>
          <t>Eyes; Cardiovascular; Growth; Nervous system</t>
        </is>
      </c>
      <c r="L269" s="8" t="n">
        <v>13</v>
      </c>
      <c r="M269" s="8" t="inlineStr">
        <is>
          <t>HP:0007814; HP:0007737; HP:0000662; HP:0004322; HP:0030856; HP:0100018; HP:0000613; HP:0007663; HP:0001956; HP:0000603; HP:0007787; HP:0007843; HP:0000556</t>
        </is>
      </c>
      <c r="N269" s="8" t="inlineStr">
        <is>
          <t>No</t>
        </is>
      </c>
      <c r="O269" s="8" t="inlineStr">
        <is>
          <t>Disease family with fewer than 5 entries</t>
        </is>
      </c>
      <c r="P269" s="8" t="n"/>
    </row>
    <row r="270">
      <c r="A270" s="8" t="inlineStr">
        <is>
          <t>CILP_0269</t>
        </is>
      </c>
      <c r="B270" s="8" t="inlineStr">
        <is>
          <t>Retinitis Pigmentosa</t>
        </is>
      </c>
      <c r="C270" s="8" t="inlineStr">
        <is>
          <t>RP91</t>
        </is>
      </c>
      <c r="D270" s="8" t="inlineStr">
        <is>
          <t>153870</t>
        </is>
      </c>
      <c r="E270" s="8" t="inlineStr">
        <is>
          <t>OMIM:153870</t>
        </is>
      </c>
      <c r="F270" s="8" t="inlineStr">
        <is>
          <t>OMIM phenotype entry</t>
        </is>
      </c>
      <c r="G270" s="8" t="inlineStr">
        <is>
          <t>Secondary</t>
        </is>
      </c>
      <c r="H270" s="8" t="inlineStr">
        <is>
          <t>Retinal ciliopathy</t>
        </is>
      </c>
      <c r="I270" s="8" t="inlineStr">
        <is>
          <t>IMPG1</t>
        </is>
      </c>
      <c r="J270" s="8" t="inlineStr">
        <is>
          <t>AD</t>
        </is>
      </c>
      <c r="K270" s="8" t="inlineStr">
        <is>
          <t>Eyes</t>
        </is>
      </c>
      <c r="L270" s="8" t="n">
        <v>3</v>
      </c>
      <c r="M270" s="8" t="inlineStr">
        <is>
          <t>HP:0008001; HP:0007641; HP:0007754</t>
        </is>
      </c>
      <c r="N270" s="8" t="inlineStr">
        <is>
          <t>Yes</t>
        </is>
      </c>
      <c r="O270" s="8" t="n"/>
      <c r="P270" s="8" t="n"/>
    </row>
    <row r="271">
      <c r="A271" s="8" t="inlineStr">
        <is>
          <t>CILP_0270</t>
        </is>
      </c>
      <c r="B271" s="8" t="inlineStr">
        <is>
          <t>Retinitis Pigmentosa</t>
        </is>
      </c>
      <c r="C271" s="8" t="inlineStr">
        <is>
          <t>RP1</t>
        </is>
      </c>
      <c r="D271" s="8" t="inlineStr">
        <is>
          <t>180100</t>
        </is>
      </c>
      <c r="E271" s="8" t="inlineStr">
        <is>
          <t>OMIM:180100</t>
        </is>
      </c>
      <c r="F271" s="8" t="inlineStr">
        <is>
          <t>OMIM phenotype entry</t>
        </is>
      </c>
      <c r="G271" s="8" t="inlineStr">
        <is>
          <t>Secondary</t>
        </is>
      </c>
      <c r="H271" s="8" t="inlineStr">
        <is>
          <t>Retinal ciliopathy</t>
        </is>
      </c>
      <c r="I271" s="8" t="inlineStr">
        <is>
          <t>RP1</t>
        </is>
      </c>
      <c r="J271" s="8" t="inlineStr">
        <is>
          <t>AR; AD</t>
        </is>
      </c>
      <c r="K271" s="8" t="inlineStr">
        <is>
          <t>Eyes; Cardiovascular</t>
        </is>
      </c>
      <c r="L271" s="8" t="n">
        <v>10</v>
      </c>
      <c r="M271" s="8" t="inlineStr">
        <is>
          <t>HP:0001133; HP:0007737; HP:0000662; HP:0007663; HP:0000510; HP:0007688; HP:0000543; HP:0007843; HP:0000575; HP:0000545</t>
        </is>
      </c>
      <c r="N271" s="8" t="inlineStr">
        <is>
          <t>Yes</t>
        </is>
      </c>
      <c r="O271" s="8" t="n"/>
      <c r="P271" s="8" t="n"/>
    </row>
    <row r="272">
      <c r="A272" s="8" t="inlineStr">
        <is>
          <t>CILP_0271</t>
        </is>
      </c>
      <c r="B272" s="8" t="inlineStr">
        <is>
          <t>Retinitis Pigmentosa</t>
        </is>
      </c>
      <c r="C272" s="8" t="inlineStr">
        <is>
          <t>RP9</t>
        </is>
      </c>
      <c r="D272" s="8" t="inlineStr">
        <is>
          <t>180104</t>
        </is>
      </c>
      <c r="E272" s="8" t="inlineStr">
        <is>
          <t>OMIM:180104</t>
        </is>
      </c>
      <c r="F272" s="8" t="inlineStr">
        <is>
          <t>OMIM phenotype entry</t>
        </is>
      </c>
      <c r="G272" s="8" t="inlineStr">
        <is>
          <t>Secondary</t>
        </is>
      </c>
      <c r="H272" s="8" t="inlineStr">
        <is>
          <t>Retinal ciliopathy</t>
        </is>
      </c>
      <c r="I272" s="8" t="inlineStr">
        <is>
          <t>RP9</t>
        </is>
      </c>
      <c r="J272" s="8" t="inlineStr">
        <is>
          <t>AD</t>
        </is>
      </c>
      <c r="K272" s="8" t="inlineStr">
        <is>
          <t>Eyes</t>
        </is>
      </c>
      <c r="L272" s="8" t="n">
        <v>8</v>
      </c>
      <c r="M272" s="8" t="inlineStr">
        <is>
          <t>HP:0001133; HP:0007737; HP:0000662; HP:0040049; HP:0000518; HP:0007401; HP:0000510; HP:0007688</t>
        </is>
      </c>
      <c r="N272" s="8" t="inlineStr">
        <is>
          <t>Yes</t>
        </is>
      </c>
      <c r="O272" s="8" t="n"/>
      <c r="P272" s="8" t="n"/>
    </row>
    <row r="273">
      <c r="A273" s="8" t="inlineStr">
        <is>
          <t>CILP_0272</t>
        </is>
      </c>
      <c r="B273" s="8" t="inlineStr">
        <is>
          <t>Retinitis Pigmentosa</t>
        </is>
      </c>
      <c r="C273" s="8" t="inlineStr">
        <is>
          <t>RP10</t>
        </is>
      </c>
      <c r="D273" s="8" t="inlineStr">
        <is>
          <t>180105</t>
        </is>
      </c>
      <c r="E273" s="8" t="inlineStr">
        <is>
          <t>OMIM:180105</t>
        </is>
      </c>
      <c r="F273" s="8" t="inlineStr">
        <is>
          <t>OMIM phenotype entry</t>
        </is>
      </c>
      <c r="G273" s="8" t="inlineStr">
        <is>
          <t>Secondary</t>
        </is>
      </c>
      <c r="H273" s="8" t="inlineStr">
        <is>
          <t>Retinal ciliopathy</t>
        </is>
      </c>
      <c r="I273" s="8" t="inlineStr">
        <is>
          <t>IMPDH1</t>
        </is>
      </c>
      <c r="J273" s="8" t="inlineStr">
        <is>
          <t>AD</t>
        </is>
      </c>
      <c r="K273" s="8" t="inlineStr">
        <is>
          <t>Eyes; Cardiovascular</t>
        </is>
      </c>
      <c r="L273" s="8" t="n">
        <v>11</v>
      </c>
      <c r="M273" s="8" t="inlineStr">
        <is>
          <t>HP:0001133; HP:0007737; HP:0000662; HP:0031609; HP:0011504; HP:0007663; HP:0000543; HP:0007787; HP:0000510; HP:0007688; HP:0007843</t>
        </is>
      </c>
      <c r="N273" s="8" t="inlineStr">
        <is>
          <t>Yes</t>
        </is>
      </c>
      <c r="O273" s="8" t="n"/>
      <c r="P273" s="8" t="n"/>
    </row>
    <row r="274">
      <c r="A274" s="8" t="inlineStr">
        <is>
          <t>CILP_0273</t>
        </is>
      </c>
      <c r="B274" s="8" t="inlineStr">
        <is>
          <t>Retinitis Pigmentosa</t>
        </is>
      </c>
      <c r="C274" s="8" t="inlineStr">
        <is>
          <t>RP3</t>
        </is>
      </c>
      <c r="D274" s="8" t="inlineStr">
        <is>
          <t>300029</t>
        </is>
      </c>
      <c r="E274" s="8" t="inlineStr">
        <is>
          <t>OMIM:300029</t>
        </is>
      </c>
      <c r="F274" s="8" t="inlineStr">
        <is>
          <t>OMIM phenotype entry</t>
        </is>
      </c>
      <c r="G274" s="8" t="inlineStr">
        <is>
          <t>Secondary</t>
        </is>
      </c>
      <c r="H274" s="8" t="inlineStr">
        <is>
          <t>Retinal ciliopathy</t>
        </is>
      </c>
      <c r="I274" s="8" t="inlineStr">
        <is>
          <t>RPGR</t>
        </is>
      </c>
      <c r="J274" s="8" t="inlineStr">
        <is>
          <t>XL</t>
        </is>
      </c>
      <c r="K274" s="8" t="inlineStr">
        <is>
          <t>Eyes; Nervous system</t>
        </is>
      </c>
      <c r="L274" s="8" t="n">
        <v>10</v>
      </c>
      <c r="M274" s="8" t="inlineStr">
        <is>
          <t>HP:0001133; HP:0007737; HP:0000662; HP:0000551; HP:0030529; HP:0011003; HP:0034272; HP:0000613; HP:0007663; HP:0000510</t>
        </is>
      </c>
      <c r="N274" s="8" t="inlineStr">
        <is>
          <t>Yes</t>
        </is>
      </c>
      <c r="O274" s="8" t="n"/>
      <c r="P274" s="8" t="n"/>
    </row>
    <row r="275">
      <c r="A275" s="8" t="inlineStr">
        <is>
          <t>CILP_0274</t>
        </is>
      </c>
      <c r="B275" s="8" t="inlineStr">
        <is>
          <t>Retinitis Pigmentosa</t>
        </is>
      </c>
      <c r="C275" s="8" t="inlineStr">
        <is>
          <t>RP23</t>
        </is>
      </c>
      <c r="D275" s="8" t="inlineStr">
        <is>
          <t>300424</t>
        </is>
      </c>
      <c r="E275" s="8" t="inlineStr">
        <is>
          <t>OMIM:300424</t>
        </is>
      </c>
      <c r="F275" s="8" t="inlineStr">
        <is>
          <t>OMIM phenotype entry</t>
        </is>
      </c>
      <c r="G275" s="8" t="inlineStr">
        <is>
          <t>Secondary</t>
        </is>
      </c>
      <c r="H275" s="8" t="inlineStr">
        <is>
          <t>Retinal ciliopathy</t>
        </is>
      </c>
      <c r="I275" s="8" t="inlineStr">
        <is>
          <t>OFD1</t>
        </is>
      </c>
      <c r="J275" s="8" t="inlineStr">
        <is>
          <t>XLR</t>
        </is>
      </c>
      <c r="K275" s="8" t="inlineStr">
        <is>
          <t>Eyes; Cardiovascular; Nervous system</t>
        </is>
      </c>
      <c r="L275" s="8" t="n">
        <v>11</v>
      </c>
      <c r="M275" s="8" t="inlineStr">
        <is>
          <t>HP:0025573; HP:0001133; HP:0000551; HP:0001141; HP:0030825; HP:0000613; HP:0000510; HP:0007787; HP:0007722; HP:0007843; HP:0025549</t>
        </is>
      </c>
      <c r="N275" s="8" t="inlineStr">
        <is>
          <t>Yes</t>
        </is>
      </c>
      <c r="O275" s="8" t="n"/>
      <c r="P275" s="8" t="n"/>
    </row>
    <row r="276">
      <c r="A276" s="8" t="inlineStr">
        <is>
          <t>CILP_0275</t>
        </is>
      </c>
      <c r="B276" s="8" t="inlineStr">
        <is>
          <t>Retinitis Pigmentosa</t>
        </is>
      </c>
      <c r="C276" s="8" t="inlineStr">
        <is>
          <t>RP2</t>
        </is>
      </c>
      <c r="D276" s="8" t="inlineStr">
        <is>
          <t>312600</t>
        </is>
      </c>
      <c r="E276" s="8" t="inlineStr">
        <is>
          <t>OMIM:312600</t>
        </is>
      </c>
      <c r="F276" s="8" t="inlineStr">
        <is>
          <t>OMIM phenotype entry</t>
        </is>
      </c>
      <c r="G276" s="8" t="inlineStr">
        <is>
          <t>Secondary</t>
        </is>
      </c>
      <c r="H276" s="8" t="inlineStr">
        <is>
          <t>Retinal ciliopathy</t>
        </is>
      </c>
      <c r="I276" s="8" t="inlineStr">
        <is>
          <t>RP2</t>
        </is>
      </c>
      <c r="J276" s="8" t="inlineStr">
        <is>
          <t>XL</t>
        </is>
      </c>
      <c r="K276" s="8" t="inlineStr">
        <is>
          <t>Eyes</t>
        </is>
      </c>
      <c r="L276" s="8" t="n">
        <v>13</v>
      </c>
      <c r="M276" s="8" t="inlineStr">
        <is>
          <t>HP:0001133; HP:0001099; HP:0000662; HP:0000580; HP:0011003; HP:0030529; HP:0011504; HP:0000518; HP:0007761; HP:0000603; HP:0000510; HP:0000545; HP:0000533</t>
        </is>
      </c>
      <c r="N276" s="8" t="inlineStr">
        <is>
          <t>Yes</t>
        </is>
      </c>
      <c r="O276" s="8" t="n"/>
      <c r="P276" s="8" t="n"/>
    </row>
    <row r="277">
      <c r="A277" s="8" t="inlineStr">
        <is>
          <t>CILP_0276</t>
        </is>
      </c>
      <c r="B277" s="8" t="inlineStr">
        <is>
          <t>Retinitis Pigmentosa</t>
        </is>
      </c>
      <c r="C277" s="8" t="inlineStr">
        <is>
          <t>RP12</t>
        </is>
      </c>
      <c r="D277" s="8" t="inlineStr">
        <is>
          <t>600105</t>
        </is>
      </c>
      <c r="E277" s="8" t="inlineStr">
        <is>
          <t>OMIM:600105</t>
        </is>
      </c>
      <c r="F277" s="8" t="inlineStr">
        <is>
          <t>OMIM phenotype entry</t>
        </is>
      </c>
      <c r="G277" s="8" t="inlineStr">
        <is>
          <t>Secondary</t>
        </is>
      </c>
      <c r="H277" s="8" t="inlineStr">
        <is>
          <t>Retinal ciliopathy</t>
        </is>
      </c>
      <c r="I277" s="8" t="inlineStr">
        <is>
          <t>CRB1</t>
        </is>
      </c>
      <c r="J277" s="8" t="inlineStr">
        <is>
          <t>AR</t>
        </is>
      </c>
      <c r="K277" s="8" t="inlineStr">
        <is>
          <t>Eyes; Cardiovascular</t>
        </is>
      </c>
      <c r="L277" s="8" t="n">
        <v>10</v>
      </c>
      <c r="M277" s="8" t="inlineStr">
        <is>
          <t>HP:0000550; HP:0007737; HP:0000662; HP:0000639; HP:0008499; HP:0007663; HP:0000510; HP:0000543; HP:0007843; HP:0000577</t>
        </is>
      </c>
      <c r="N277" s="8" t="inlineStr">
        <is>
          <t>Yes</t>
        </is>
      </c>
      <c r="O277" s="8" t="n"/>
      <c r="P277" s="8" t="n"/>
    </row>
    <row r="278">
      <c r="A278" s="8" t="inlineStr">
        <is>
          <t>CILP_0277</t>
        </is>
      </c>
      <c r="B278" s="8" t="inlineStr">
        <is>
          <t>Retinitis Pigmentosa</t>
        </is>
      </c>
      <c r="C278" s="8" t="inlineStr">
        <is>
          <t>RP14</t>
        </is>
      </c>
      <c r="D278" s="8" t="inlineStr">
        <is>
          <t>600132</t>
        </is>
      </c>
      <c r="E278" s="8" t="inlineStr">
        <is>
          <t>OMIM:600132</t>
        </is>
      </c>
      <c r="F278" s="8" t="inlineStr">
        <is>
          <t>OMIM phenotype entry</t>
        </is>
      </c>
      <c r="G278" s="8" t="inlineStr">
        <is>
          <t>Secondary</t>
        </is>
      </c>
      <c r="H278" s="8" t="inlineStr">
        <is>
          <t>Retinal ciliopathy</t>
        </is>
      </c>
      <c r="I278" s="8" t="inlineStr">
        <is>
          <t>TULP1</t>
        </is>
      </c>
      <c r="J278" s="8" t="inlineStr">
        <is>
          <t>AR</t>
        </is>
      </c>
      <c r="K278" s="8" t="inlineStr">
        <is>
          <t>Eyes; Cardiovascular; Head and neck</t>
        </is>
      </c>
      <c r="L278" s="8" t="n">
        <v>10</v>
      </c>
      <c r="M278" s="8" t="inlineStr">
        <is>
          <t>HP:0000550; HP:0001133; HP:0007737; HP:0000662; HP:0000639; HP:0008043; HP:0007663; HP:0000510; HP:0007787; HP:0000543</t>
        </is>
      </c>
      <c r="N278" s="8" t="inlineStr">
        <is>
          <t>Yes</t>
        </is>
      </c>
      <c r="O278" s="8" t="n"/>
      <c r="P278" s="8" t="n"/>
    </row>
    <row r="279">
      <c r="A279" s="8" t="inlineStr">
        <is>
          <t>CILP_0278</t>
        </is>
      </c>
      <c r="B279" s="8" t="inlineStr">
        <is>
          <t>Retinitis Pigmentosa</t>
        </is>
      </c>
      <c r="C279" s="8" t="inlineStr">
        <is>
          <t>RP11</t>
        </is>
      </c>
      <c r="D279" s="8" t="inlineStr">
        <is>
          <t>600138</t>
        </is>
      </c>
      <c r="E279" s="8" t="inlineStr">
        <is>
          <t>OMIM:600138</t>
        </is>
      </c>
      <c r="F279" s="8" t="inlineStr">
        <is>
          <t>OMIM phenotype entry</t>
        </is>
      </c>
      <c r="G279" s="8" t="inlineStr">
        <is>
          <t>Secondary</t>
        </is>
      </c>
      <c r="H279" s="8" t="inlineStr">
        <is>
          <t>Retinal ciliopathy</t>
        </is>
      </c>
      <c r="I279" s="8" t="inlineStr">
        <is>
          <t>PRPF31</t>
        </is>
      </c>
      <c r="J279" s="8" t="inlineStr">
        <is>
          <t>INCOMPLETE_PENETRANCE; AD</t>
        </is>
      </c>
      <c r="K279" s="8" t="inlineStr">
        <is>
          <t>Eyes</t>
        </is>
      </c>
      <c r="L279" s="8" t="n">
        <v>11</v>
      </c>
      <c r="M279" s="8" t="inlineStr">
        <is>
          <t>HP:0001133; HP:0007737; HP:0000662; HP:0030629; HP:0040049; HP:0000608; HP:0000618; HP:0007663; HP:0007401; HP:0000510; HP:0000543</t>
        </is>
      </c>
      <c r="N279" s="8" t="inlineStr">
        <is>
          <t>Yes</t>
        </is>
      </c>
      <c r="O279" s="8" t="n"/>
      <c r="P279" s="8" t="n"/>
    </row>
    <row r="280">
      <c r="A280" s="8" t="inlineStr">
        <is>
          <t>CILP_0279</t>
        </is>
      </c>
      <c r="B280" s="8" t="inlineStr">
        <is>
          <t>Retinitis Pigmentosa</t>
        </is>
      </c>
      <c r="C280" s="8" t="inlineStr">
        <is>
          <t>RP18</t>
        </is>
      </c>
      <c r="D280" s="8" t="inlineStr">
        <is>
          <t>601414</t>
        </is>
      </c>
      <c r="E280" s="8" t="inlineStr">
        <is>
          <t>OMIM:601414</t>
        </is>
      </c>
      <c r="F280" s="8" t="inlineStr">
        <is>
          <t>OMIM phenotype entry</t>
        </is>
      </c>
      <c r="G280" s="8" t="inlineStr">
        <is>
          <t>Secondary</t>
        </is>
      </c>
      <c r="H280" s="8" t="inlineStr">
        <is>
          <t>Retinal ciliopathy</t>
        </is>
      </c>
      <c r="I280" s="8" t="inlineStr">
        <is>
          <t>PRPF31</t>
        </is>
      </c>
      <c r="J280" s="8" t="inlineStr">
        <is>
          <t>AD</t>
        </is>
      </c>
      <c r="K280" s="8" t="inlineStr">
        <is>
          <t>Eyes; Cardiovascular; Head and neck</t>
        </is>
      </c>
      <c r="L280" s="8" t="n">
        <v>5</v>
      </c>
      <c r="M280" s="8" t="inlineStr">
        <is>
          <t>HP:0000662; HP:0008043; HP:0000510; HP:0000575; HP:0007987</t>
        </is>
      </c>
      <c r="N280" s="8" t="inlineStr">
        <is>
          <t>Yes</t>
        </is>
      </c>
      <c r="O280" s="8" t="n"/>
      <c r="P280" s="8" t="n"/>
    </row>
    <row r="281">
      <c r="A281" s="8" t="inlineStr">
        <is>
          <t>CILP_0280</t>
        </is>
      </c>
      <c r="B281" s="8" t="inlineStr">
        <is>
          <t>Retinitis Pigmentosa</t>
        </is>
      </c>
      <c r="C281" s="8" t="inlineStr">
        <is>
          <t>RP19</t>
        </is>
      </c>
      <c r="D281" s="8" t="inlineStr">
        <is>
          <t>601718</t>
        </is>
      </c>
      <c r="E281" s="8" t="inlineStr">
        <is>
          <t>OMIM:601718</t>
        </is>
      </c>
      <c r="F281" s="8" t="inlineStr">
        <is>
          <t>OMIM phenotype entry</t>
        </is>
      </c>
      <c r="G281" s="8" t="inlineStr">
        <is>
          <t>Secondary</t>
        </is>
      </c>
      <c r="H281" s="8" t="inlineStr">
        <is>
          <t>Retinal ciliopathy</t>
        </is>
      </c>
      <c r="I281" s="8" t="inlineStr">
        <is>
          <t>ABCA4</t>
        </is>
      </c>
      <c r="J281" s="8" t="inlineStr">
        <is>
          <t>AR</t>
        </is>
      </c>
      <c r="K281" s="8" t="inlineStr">
        <is>
          <t>Eyes; Cardiovascular</t>
        </is>
      </c>
      <c r="L281" s="8" t="n">
        <v>10</v>
      </c>
      <c r="M281" s="8" t="inlineStr">
        <is>
          <t>HP:0001133; HP:0007737; HP:0000662; HP:0007663; HP:0000505; HP:0000510; HP:0000543; HP:0007843; HP:0007722; HP:0000512</t>
        </is>
      </c>
      <c r="N281" s="8" t="inlineStr">
        <is>
          <t>Yes</t>
        </is>
      </c>
      <c r="O281" s="8" t="n"/>
      <c r="P281" s="8" t="n"/>
    </row>
    <row r="282">
      <c r="A282" s="8" t="inlineStr">
        <is>
          <t>CILP_0281</t>
        </is>
      </c>
      <c r="B282" s="8" t="inlineStr">
        <is>
          <t>Retinitis Pigmentosa</t>
        </is>
      </c>
      <c r="C282" s="8" t="inlineStr">
        <is>
          <t>RP25</t>
        </is>
      </c>
      <c r="D282" s="8" t="inlineStr">
        <is>
          <t>602772</t>
        </is>
      </c>
      <c r="E282" s="8" t="inlineStr">
        <is>
          <t>OMIM:602772</t>
        </is>
      </c>
      <c r="F282" s="8" t="inlineStr">
        <is>
          <t>OMIM phenotype entry</t>
        </is>
      </c>
      <c r="G282" s="8" t="inlineStr">
        <is>
          <t>Secondary</t>
        </is>
      </c>
      <c r="H282" s="8" t="inlineStr">
        <is>
          <t>Retinal ciliopathy</t>
        </is>
      </c>
      <c r="I282" s="8" t="inlineStr">
        <is>
          <t>EYS</t>
        </is>
      </c>
      <c r="J282" s="8" t="inlineStr">
        <is>
          <t>AR</t>
        </is>
      </c>
      <c r="K282" s="8" t="inlineStr">
        <is>
          <t>Eyes; Cardiovascular; Nervous system</t>
        </is>
      </c>
      <c r="L282" s="8" t="n">
        <v>10</v>
      </c>
      <c r="M282" s="8" t="inlineStr">
        <is>
          <t>HP:0001133; HP:0000550; HP:0007737; HP:0000662; HP:0000613; HP:0000510; HP:0000543; HP:0007787; HP:0007843; HP:0000533</t>
        </is>
      </c>
      <c r="N282" s="8" t="inlineStr">
        <is>
          <t>Yes</t>
        </is>
      </c>
      <c r="O282" s="8" t="n"/>
      <c r="P282" s="8" t="n"/>
    </row>
    <row r="283">
      <c r="A283" s="8" t="inlineStr">
        <is>
          <t>CILP_0282</t>
        </is>
      </c>
      <c r="B283" s="8" t="inlineStr">
        <is>
          <t>Retinitis Pigmentosa</t>
        </is>
      </c>
      <c r="C283" s="8" t="inlineStr">
        <is>
          <t>RP28</t>
        </is>
      </c>
      <c r="D283" s="8" t="inlineStr">
        <is>
          <t>606068</t>
        </is>
      </c>
      <c r="E283" s="8" t="inlineStr">
        <is>
          <t>OMIM:606068</t>
        </is>
      </c>
      <c r="F283" s="8" t="inlineStr">
        <is>
          <t>OMIM phenotype entry</t>
        </is>
      </c>
      <c r="G283" s="8" t="inlineStr">
        <is>
          <t>Secondary</t>
        </is>
      </c>
      <c r="H283" s="8" t="inlineStr">
        <is>
          <t>Retinal ciliopathy</t>
        </is>
      </c>
      <c r="I283" s="8" t="inlineStr">
        <is>
          <t>FAM161A</t>
        </is>
      </c>
      <c r="J283" s="8" t="inlineStr">
        <is>
          <t>AR</t>
        </is>
      </c>
      <c r="K283" s="8" t="inlineStr">
        <is>
          <t>Eyes</t>
        </is>
      </c>
      <c r="L283" s="8" t="n">
        <v>5</v>
      </c>
      <c r="M283" s="8" t="inlineStr">
        <is>
          <t>HP:0001133; HP:0007737; HP:0000662; HP:0000510; HP:0000543</t>
        </is>
      </c>
      <c r="N283" s="8" t="inlineStr">
        <is>
          <t>Yes</t>
        </is>
      </c>
      <c r="O283" s="8" t="n"/>
      <c r="P283" s="8" t="n"/>
    </row>
    <row r="284">
      <c r="A284" s="8" t="inlineStr">
        <is>
          <t>CILP_0283</t>
        </is>
      </c>
      <c r="B284" s="8" t="inlineStr">
        <is>
          <t>Retinitis Pigmentosa</t>
        </is>
      </c>
      <c r="C284" s="8" t="inlineStr">
        <is>
          <t>RP30</t>
        </is>
      </c>
      <c r="D284" s="8" t="inlineStr">
        <is>
          <t>607921</t>
        </is>
      </c>
      <c r="E284" s="8" t="inlineStr">
        <is>
          <t>OMIM:607921</t>
        </is>
      </c>
      <c r="F284" s="8" t="inlineStr">
        <is>
          <t>OMIM phenotype entry</t>
        </is>
      </c>
      <c r="G284" s="8" t="inlineStr">
        <is>
          <t>Secondary</t>
        </is>
      </c>
      <c r="H284" s="8" t="inlineStr">
        <is>
          <t>Retinal ciliopathy</t>
        </is>
      </c>
      <c r="I284" s="8" t="inlineStr">
        <is>
          <t>FSCN2</t>
        </is>
      </c>
      <c r="J284" s="8" t="inlineStr">
        <is>
          <t>AD</t>
        </is>
      </c>
      <c r="K284" s="8" t="inlineStr">
        <is>
          <t>Eyes; Cardiovascular</t>
        </is>
      </c>
      <c r="L284" s="8" t="n">
        <v>7</v>
      </c>
      <c r="M284" s="8" t="inlineStr">
        <is>
          <t>HP:0007737; HP:0000662; HP:0000505; HP:0000648; HP:0000510; HP:0007843; HP:0000533</t>
        </is>
      </c>
      <c r="N284" s="8" t="inlineStr">
        <is>
          <t>Yes</t>
        </is>
      </c>
      <c r="O284" s="8" t="n"/>
      <c r="P284" s="8" t="n"/>
    </row>
    <row r="285">
      <c r="A285" s="8" t="inlineStr">
        <is>
          <t>CILP_0284</t>
        </is>
      </c>
      <c r="B285" s="8" t="inlineStr">
        <is>
          <t>Retinitis Pigmentosa</t>
        </is>
      </c>
      <c r="C285" s="8" t="inlineStr">
        <is>
          <t>RP7</t>
        </is>
      </c>
      <c r="D285" s="8" t="inlineStr">
        <is>
          <t>608133</t>
        </is>
      </c>
      <c r="E285" s="8" t="inlineStr">
        <is>
          <t>OMIM:608133</t>
        </is>
      </c>
      <c r="F285" s="8" t="inlineStr">
        <is>
          <t>OMIM phenotype entry</t>
        </is>
      </c>
      <c r="G285" s="8" t="inlineStr">
        <is>
          <t>Secondary</t>
        </is>
      </c>
      <c r="H285" s="8" t="inlineStr">
        <is>
          <t>Retinal ciliopathy</t>
        </is>
      </c>
      <c r="I285" s="8" t="inlineStr">
        <is>
          <t>ROM1</t>
        </is>
      </c>
      <c r="J285" s="8" t="inlineStr">
        <is>
          <t>AR; AD</t>
        </is>
      </c>
      <c r="K285" s="8" t="inlineStr">
        <is>
          <t>Eyes; Cardiovascular</t>
        </is>
      </c>
      <c r="L285" s="8" t="n">
        <v>8</v>
      </c>
      <c r="M285" s="8" t="inlineStr">
        <is>
          <t>HP:0001133; HP:0000662; HP:0000580; HP:0007830; HP:0000510; HP:0007843; HP:0000512; HP:0000533</t>
        </is>
      </c>
      <c r="N285" s="8" t="inlineStr">
        <is>
          <t>Yes</t>
        </is>
      </c>
      <c r="O285" s="8" t="n"/>
      <c r="P285" s="8" t="inlineStr">
        <is>
          <t>Same OMIM entry also curated under Leber Congenital Amaurosis (CILP_0154)</t>
        </is>
      </c>
    </row>
    <row r="286">
      <c r="A286" s="8" t="inlineStr">
        <is>
          <t>CILP_0285</t>
        </is>
      </c>
      <c r="B286" s="8" t="inlineStr">
        <is>
          <t>Retinitis Pigmentosa</t>
        </is>
      </c>
      <c r="C286" s="8" t="inlineStr">
        <is>
          <t>RP26</t>
        </is>
      </c>
      <c r="D286" s="8" t="inlineStr">
        <is>
          <t>608380</t>
        </is>
      </c>
      <c r="E286" s="8" t="inlineStr">
        <is>
          <t>OMIM:608380</t>
        </is>
      </c>
      <c r="F286" s="8" t="inlineStr">
        <is>
          <t>OMIM phenotype entry</t>
        </is>
      </c>
      <c r="G286" s="8" t="inlineStr">
        <is>
          <t>Secondary</t>
        </is>
      </c>
      <c r="H286" s="8" t="inlineStr">
        <is>
          <t>Retinal ciliopathy</t>
        </is>
      </c>
      <c r="I286" s="8" t="inlineStr">
        <is>
          <t>CERKL</t>
        </is>
      </c>
      <c r="J286" s="8" t="inlineStr">
        <is>
          <t>AR</t>
        </is>
      </c>
      <c r="K286" s="8" t="inlineStr">
        <is>
          <t>Eyes; Cardiovascular</t>
        </is>
      </c>
      <c r="L286" s="8" t="n">
        <v>6</v>
      </c>
      <c r="M286" s="8" t="inlineStr">
        <is>
          <t>HP:0001133; HP:0000505; HP:0000543; HP:0007688; HP:0000510; HP:0007843</t>
        </is>
      </c>
      <c r="N286" s="8" t="inlineStr">
        <is>
          <t>Yes</t>
        </is>
      </c>
      <c r="O286" s="8" t="n"/>
      <c r="P286" s="8" t="n"/>
    </row>
    <row r="287">
      <c r="A287" s="8" t="inlineStr">
        <is>
          <t>CILP_0286</t>
        </is>
      </c>
      <c r="B287" s="8" t="inlineStr">
        <is>
          <t>Retinitis Pigmentosa</t>
        </is>
      </c>
      <c r="C287" s="8" t="inlineStr">
        <is>
          <t>RP32</t>
        </is>
      </c>
      <c r="D287" s="8" t="inlineStr">
        <is>
          <t>609913</t>
        </is>
      </c>
      <c r="E287" s="8" t="inlineStr">
        <is>
          <t>OMIM:609913</t>
        </is>
      </c>
      <c r="F287" s="8" t="inlineStr">
        <is>
          <t>OMIM phenotype entry</t>
        </is>
      </c>
      <c r="G287" s="8" t="inlineStr">
        <is>
          <t>Secondary</t>
        </is>
      </c>
      <c r="H287" s="8" t="inlineStr">
        <is>
          <t>Retinal ciliopathy</t>
        </is>
      </c>
      <c r="I287" s="8" t="inlineStr">
        <is>
          <t>CLCC1</t>
        </is>
      </c>
      <c r="J287" s="8" t="inlineStr">
        <is>
          <t>AR</t>
        </is>
      </c>
      <c r="K287" s="8" t="inlineStr">
        <is>
          <t>Eyes; Cardiovascular; Nervous system</t>
        </is>
      </c>
      <c r="L287" s="8" t="n">
        <v>10</v>
      </c>
      <c r="M287" s="8" t="inlineStr">
        <is>
          <t>HP:0000550; HP:0007737; HP:0000662; HP:0000580; HP:0030609; HP:0000613; HP:0000546; HP:0007663; HP:0000543; HP:0007843</t>
        </is>
      </c>
      <c r="N287" s="8" t="inlineStr">
        <is>
          <t>Yes</t>
        </is>
      </c>
      <c r="O287" s="8" t="n"/>
      <c r="P287" s="8" t="n"/>
    </row>
    <row r="288">
      <c r="A288" s="8" t="inlineStr">
        <is>
          <t>CILP_0287</t>
        </is>
      </c>
      <c r="B288" s="8" t="inlineStr">
        <is>
          <t>Retinitis Pigmentosa</t>
        </is>
      </c>
      <c r="C288" s="8" t="inlineStr">
        <is>
          <t>RP31</t>
        </is>
      </c>
      <c r="D288" s="8" t="inlineStr">
        <is>
          <t>609923</t>
        </is>
      </c>
      <c r="E288" s="8" t="inlineStr">
        <is>
          <t>OMIM:609923</t>
        </is>
      </c>
      <c r="F288" s="8" t="inlineStr">
        <is>
          <t>OMIM phenotype entry</t>
        </is>
      </c>
      <c r="G288" s="8" t="inlineStr">
        <is>
          <t>Secondary</t>
        </is>
      </c>
      <c r="H288" s="8" t="inlineStr">
        <is>
          <t>Retinal ciliopathy</t>
        </is>
      </c>
      <c r="I288" s="8" t="inlineStr">
        <is>
          <t>TOPORS</t>
        </is>
      </c>
      <c r="J288" s="8" t="inlineStr">
        <is>
          <t>AD</t>
        </is>
      </c>
      <c r="K288" s="8" t="inlineStr">
        <is>
          <t>Eyes; Cardiovascular</t>
        </is>
      </c>
      <c r="L288" s="8" t="n">
        <v>5</v>
      </c>
      <c r="M288" s="8" t="inlineStr">
        <is>
          <t>HP:0001123; HP:0000510; HP:0007722; HP:0007843; HP:0000512</t>
        </is>
      </c>
      <c r="N288" s="8" t="inlineStr">
        <is>
          <t>Yes</t>
        </is>
      </c>
      <c r="O288" s="8" t="n"/>
      <c r="P288" s="8" t="n"/>
    </row>
    <row r="289">
      <c r="A289" s="8" t="inlineStr">
        <is>
          <t>CILP_0288</t>
        </is>
      </c>
      <c r="B289" s="8" t="inlineStr">
        <is>
          <t>Retinitis Pigmentosa</t>
        </is>
      </c>
      <c r="C289" s="8" t="inlineStr">
        <is>
          <t>RP35</t>
        </is>
      </c>
      <c r="D289" s="8" t="inlineStr">
        <is>
          <t>610282</t>
        </is>
      </c>
      <c r="E289" s="8" t="inlineStr">
        <is>
          <t>OMIM:610282</t>
        </is>
      </c>
      <c r="F289" s="8" t="inlineStr">
        <is>
          <t>OMIM phenotype entry</t>
        </is>
      </c>
      <c r="G289" s="8" t="inlineStr">
        <is>
          <t>Secondary</t>
        </is>
      </c>
      <c r="H289" s="8" t="inlineStr">
        <is>
          <t>Retinal ciliopathy</t>
        </is>
      </c>
      <c r="I289" s="8" t="inlineStr">
        <is>
          <t>SEMA4A</t>
        </is>
      </c>
      <c r="J289" s="8" t="inlineStr">
        <is>
          <t>AR</t>
        </is>
      </c>
      <c r="K289" s="8" t="inlineStr">
        <is>
          <t>Eyes</t>
        </is>
      </c>
      <c r="L289" s="8" t="n">
        <v>4</v>
      </c>
      <c r="M289" s="8" t="inlineStr">
        <is>
          <t>HP:0000662; HP:0000618; HP:0007663; HP:0000510</t>
        </is>
      </c>
      <c r="N289" s="8" t="inlineStr">
        <is>
          <t>Yes</t>
        </is>
      </c>
      <c r="O289" s="8" t="n"/>
      <c r="P289" s="8" t="n"/>
    </row>
    <row r="290">
      <c r="A290" s="8" t="inlineStr">
        <is>
          <t>CILP_0289</t>
        </is>
      </c>
      <c r="B290" s="8" t="inlineStr">
        <is>
          <t>Retinitis Pigmentosa</t>
        </is>
      </c>
      <c r="C290" s="8" t="inlineStr">
        <is>
          <t>RP33</t>
        </is>
      </c>
      <c r="D290" s="8" t="inlineStr">
        <is>
          <t>610359</t>
        </is>
      </c>
      <c r="E290" s="8" t="inlineStr">
        <is>
          <t>OMIM:610359</t>
        </is>
      </c>
      <c r="F290" s="8" t="inlineStr">
        <is>
          <t>OMIM phenotype entry</t>
        </is>
      </c>
      <c r="G290" s="8" t="inlineStr">
        <is>
          <t>Secondary</t>
        </is>
      </c>
      <c r="H290" s="8" t="inlineStr">
        <is>
          <t>Retinal ciliopathy</t>
        </is>
      </c>
      <c r="I290" s="8" t="inlineStr">
        <is>
          <t>SNRNP200</t>
        </is>
      </c>
      <c r="J290" s="8" t="inlineStr">
        <is>
          <t>AD</t>
        </is>
      </c>
      <c r="K290" s="8" t="inlineStr">
        <is>
          <t>Eyes; Cardiovascular</t>
        </is>
      </c>
      <c r="L290" s="8" t="n">
        <v>7</v>
      </c>
      <c r="M290" s="8" t="inlineStr">
        <is>
          <t>HP:0007737; HP:0000662; HP:0000505; HP:0000543; HP:0000510; HP:0007843; HP:0007722</t>
        </is>
      </c>
      <c r="N290" s="8" t="inlineStr">
        <is>
          <t>Yes</t>
        </is>
      </c>
      <c r="O290" s="8" t="n"/>
      <c r="P290" s="8" t="n"/>
    </row>
    <row r="291">
      <c r="A291" s="8" t="inlineStr">
        <is>
          <t>CILP_0290</t>
        </is>
      </c>
      <c r="B291" s="8" t="inlineStr">
        <is>
          <t>Retinitis Pigmentosa</t>
        </is>
      </c>
      <c r="C291" s="8" t="inlineStr">
        <is>
          <t>RP36</t>
        </is>
      </c>
      <c r="D291" s="8" t="inlineStr">
        <is>
          <t>610599</t>
        </is>
      </c>
      <c r="E291" s="8" t="inlineStr">
        <is>
          <t>OMIM:610599</t>
        </is>
      </c>
      <c r="F291" s="8" t="inlineStr">
        <is>
          <t>OMIM phenotype entry</t>
        </is>
      </c>
      <c r="G291" s="8" t="inlineStr">
        <is>
          <t>Secondary</t>
        </is>
      </c>
      <c r="H291" s="8" t="inlineStr">
        <is>
          <t>Retinal ciliopathy</t>
        </is>
      </c>
      <c r="I291" s="8" t="inlineStr">
        <is>
          <t>PRCD</t>
        </is>
      </c>
      <c r="J291" s="8" t="inlineStr">
        <is>
          <t>AR</t>
        </is>
      </c>
      <c r="K291" s="8" t="inlineStr">
        <is>
          <t>Eyes; Cardiovascular</t>
        </is>
      </c>
      <c r="L291" s="8" t="n">
        <v>6</v>
      </c>
      <c r="M291" s="8" t="inlineStr">
        <is>
          <t>HP:0000550; HP:0007737; HP:0000608; HP:0000510; HP:0000543; HP:0007843</t>
        </is>
      </c>
      <c r="N291" s="8" t="inlineStr">
        <is>
          <t>Yes</t>
        </is>
      </c>
      <c r="O291" s="8" t="n"/>
      <c r="P291" s="8" t="n"/>
    </row>
    <row r="292">
      <c r="A292" s="8" t="inlineStr">
        <is>
          <t>CILP_0291</t>
        </is>
      </c>
      <c r="B292" s="8" t="inlineStr">
        <is>
          <t>Retinitis Pigmentosa</t>
        </is>
      </c>
      <c r="C292" s="8" t="inlineStr">
        <is>
          <t>RP37</t>
        </is>
      </c>
      <c r="D292" s="8" t="inlineStr">
        <is>
          <t>611131</t>
        </is>
      </c>
      <c r="E292" s="8" t="inlineStr">
        <is>
          <t>OMIM:611131</t>
        </is>
      </c>
      <c r="F292" s="8" t="inlineStr">
        <is>
          <t>OMIM phenotype entry</t>
        </is>
      </c>
      <c r="G292" s="8" t="inlineStr">
        <is>
          <t>Secondary</t>
        </is>
      </c>
      <c r="H292" s="8" t="inlineStr">
        <is>
          <t>Retinal ciliopathy</t>
        </is>
      </c>
      <c r="I292" s="8" t="inlineStr">
        <is>
          <t>NR2E3</t>
        </is>
      </c>
      <c r="J292" s="8" t="inlineStr">
        <is>
          <t>AR; AD</t>
        </is>
      </c>
      <c r="K292" s="8" t="inlineStr">
        <is>
          <t>Eyes; Nervous system</t>
        </is>
      </c>
      <c r="L292" s="8" t="n">
        <v>12</v>
      </c>
      <c r="M292" s="8" t="inlineStr">
        <is>
          <t>HP:0001133; HP:0000662; HP:0000552; HP:0000580; HP:0100018; HP:0000613; HP:0007663; HP:0008028; HP:0007787; HP:0000642; HP:0000510; HP:0007688</t>
        </is>
      </c>
      <c r="N292" s="8" t="inlineStr">
        <is>
          <t>Yes</t>
        </is>
      </c>
      <c r="O292" s="8" t="n"/>
      <c r="P292" s="8" t="n"/>
    </row>
    <row r="293">
      <c r="A293" s="8" t="inlineStr">
        <is>
          <t>CILP_0292</t>
        </is>
      </c>
      <c r="B293" s="8" t="inlineStr">
        <is>
          <t>Retinitis Pigmentosa</t>
        </is>
      </c>
      <c r="C293" s="8" t="inlineStr">
        <is>
          <t>RP41</t>
        </is>
      </c>
      <c r="D293" s="8" t="inlineStr">
        <is>
          <t>612095</t>
        </is>
      </c>
      <c r="E293" s="8" t="inlineStr">
        <is>
          <t>OMIM:612095</t>
        </is>
      </c>
      <c r="F293" s="8" t="inlineStr">
        <is>
          <t>OMIM phenotype entry</t>
        </is>
      </c>
      <c r="G293" s="8" t="inlineStr">
        <is>
          <t>Secondary</t>
        </is>
      </c>
      <c r="H293" s="8" t="inlineStr">
        <is>
          <t>Retinal ciliopathy</t>
        </is>
      </c>
      <c r="I293" s="8" t="inlineStr">
        <is>
          <t>PROM1</t>
        </is>
      </c>
      <c r="J293" s="8" t="inlineStr">
        <is>
          <t>AR</t>
        </is>
      </c>
      <c r="K293" s="8" t="inlineStr">
        <is>
          <t>Eyes; Cardiovascular</t>
        </is>
      </c>
      <c r="L293" s="8" t="n">
        <v>11</v>
      </c>
      <c r="M293" s="8" t="inlineStr">
        <is>
          <t>HP:0000550; HP:0007737; HP:0000662; HP:0001141; HP:0000580; HP:0000639; HP:0000608; HP:0007994; HP:0000510; HP:0000543; HP:0007843</t>
        </is>
      </c>
      <c r="N293" s="8" t="inlineStr">
        <is>
          <t>Yes</t>
        </is>
      </c>
      <c r="O293" s="8" t="n"/>
      <c r="P293" s="8" t="n"/>
    </row>
    <row r="294">
      <c r="A294" s="8" t="inlineStr">
        <is>
          <t>CILP_0293</t>
        </is>
      </c>
      <c r="B294" s="8" t="inlineStr">
        <is>
          <t>Retinitis Pigmentosa</t>
        </is>
      </c>
      <c r="C294" s="8" t="inlineStr">
        <is>
          <t>RP46</t>
        </is>
      </c>
      <c r="D294" s="8" t="inlineStr">
        <is>
          <t>612572</t>
        </is>
      </c>
      <c r="E294" s="8" t="inlineStr">
        <is>
          <t>OMIM:612572</t>
        </is>
      </c>
      <c r="F294" s="8" t="inlineStr">
        <is>
          <t>OMIM phenotype entry</t>
        </is>
      </c>
      <c r="G294" s="8" t="inlineStr">
        <is>
          <t>Secondary</t>
        </is>
      </c>
      <c r="H294" s="8" t="inlineStr">
        <is>
          <t>Retinal ciliopathy</t>
        </is>
      </c>
      <c r="I294" s="8" t="inlineStr">
        <is>
          <t>IDH3B</t>
        </is>
      </c>
      <c r="J294" s="8" t="inlineStr">
        <is>
          <t>AR</t>
        </is>
      </c>
      <c r="K294" s="8" t="inlineStr">
        <is>
          <t>Eyes; Cardiovascular</t>
        </is>
      </c>
      <c r="L294" s="8" t="n">
        <v>8</v>
      </c>
      <c r="M294" s="8" t="inlineStr">
        <is>
          <t>HP:0001133; HP:0000580; HP:0000505; HP:0000510; HP:0000543; HP:0007787; HP:0007843; HP:0000654</t>
        </is>
      </c>
      <c r="N294" s="8" t="inlineStr">
        <is>
          <t>Yes</t>
        </is>
      </c>
      <c r="O294" s="8" t="n"/>
      <c r="P294" s="8" t="n"/>
    </row>
    <row r="295">
      <c r="A295" s="8" t="inlineStr">
        <is>
          <t>CILP_0294</t>
        </is>
      </c>
      <c r="B295" s="8" t="inlineStr">
        <is>
          <t>Retinitis Pigmentosa</t>
        </is>
      </c>
      <c r="C295" s="8" t="inlineStr">
        <is>
          <t>RP13</t>
        </is>
      </c>
      <c r="D295" s="8" t="inlineStr">
        <is>
          <t>612712</t>
        </is>
      </c>
      <c r="E295" s="8" t="inlineStr">
        <is>
          <t>OMIM:612712</t>
        </is>
      </c>
      <c r="F295" s="8" t="inlineStr">
        <is>
          <t>OMIM phenotype entry</t>
        </is>
      </c>
      <c r="G295" s="8" t="inlineStr">
        <is>
          <t>Secondary</t>
        </is>
      </c>
      <c r="H295" s="8" t="inlineStr">
        <is>
          <t>Retinal ciliopathy</t>
        </is>
      </c>
      <c r="I295" s="8" t="inlineStr">
        <is>
          <t>RDH12</t>
        </is>
      </c>
      <c r="J295" s="8" t="inlineStr">
        <is>
          <t>AR; AD</t>
        </is>
      </c>
      <c r="K295" s="8" t="inlineStr">
        <is>
          <t>Eyes; Cardiovascular</t>
        </is>
      </c>
      <c r="L295" s="8" t="n">
        <v>5</v>
      </c>
      <c r="M295" s="8" t="inlineStr">
        <is>
          <t>HP:0007737; HP:0007663; HP:0000543; HP:0007843; HP:0000556</t>
        </is>
      </c>
      <c r="N295" s="8" t="inlineStr">
        <is>
          <t>Yes</t>
        </is>
      </c>
      <c r="O295" s="8" t="n"/>
      <c r="P295" s="8" t="inlineStr">
        <is>
          <t>Same OMIM entry also curated under Leber Congenital Amaurosis (CILP_0158)</t>
        </is>
      </c>
    </row>
    <row r="296">
      <c r="A296" s="8" t="inlineStr">
        <is>
          <t>CILP_0295</t>
        </is>
      </c>
      <c r="B296" s="8" t="inlineStr">
        <is>
          <t>Retinitis Pigmentosa</t>
        </is>
      </c>
      <c r="C296" s="8" t="inlineStr">
        <is>
          <t>RP42</t>
        </is>
      </c>
      <c r="D296" s="8" t="inlineStr">
        <is>
          <t>612943</t>
        </is>
      </c>
      <c r="E296" s="8" t="inlineStr">
        <is>
          <t>OMIM:612943</t>
        </is>
      </c>
      <c r="F296" s="8" t="inlineStr">
        <is>
          <t>OMIM phenotype entry</t>
        </is>
      </c>
      <c r="G296" s="8" t="inlineStr">
        <is>
          <t>Secondary</t>
        </is>
      </c>
      <c r="H296" s="8" t="inlineStr">
        <is>
          <t>Retinal ciliopathy</t>
        </is>
      </c>
      <c r="I296" s="8" t="inlineStr">
        <is>
          <t>KLHL7</t>
        </is>
      </c>
      <c r="J296" s="8" t="inlineStr">
        <is>
          <t>AD</t>
        </is>
      </c>
      <c r="K296" s="8" t="inlineStr">
        <is>
          <t>Eyes</t>
        </is>
      </c>
      <c r="L296" s="8" t="n">
        <v>5</v>
      </c>
      <c r="M296" s="8" t="inlineStr">
        <is>
          <t>HP:0500087; HP:0007663; HP:0030629; HP:0000510; HP:0011505</t>
        </is>
      </c>
      <c r="N296" s="8" t="inlineStr">
        <is>
          <t>Yes</t>
        </is>
      </c>
      <c r="O296" s="8" t="n"/>
      <c r="P296" s="8" t="n"/>
    </row>
    <row r="297">
      <c r="A297" s="8" t="inlineStr">
        <is>
          <t>CILP_0296</t>
        </is>
      </c>
      <c r="B297" s="8" t="inlineStr">
        <is>
          <t>Retinitis Pigmentosa</t>
        </is>
      </c>
      <c r="C297" s="8" t="inlineStr">
        <is>
          <t>RP50</t>
        </is>
      </c>
      <c r="D297" s="8" t="inlineStr">
        <is>
          <t>613194</t>
        </is>
      </c>
      <c r="E297" s="8" t="inlineStr">
        <is>
          <t>OMIM:613194</t>
        </is>
      </c>
      <c r="F297" s="8" t="inlineStr">
        <is>
          <t>OMIM phenotype entry</t>
        </is>
      </c>
      <c r="G297" s="8" t="inlineStr">
        <is>
          <t>Secondary</t>
        </is>
      </c>
      <c r="H297" s="8" t="inlineStr">
        <is>
          <t>Retinal ciliopathy</t>
        </is>
      </c>
      <c r="I297" s="8" t="inlineStr">
        <is>
          <t>BEST1</t>
        </is>
      </c>
      <c r="J297" s="8" t="inlineStr">
        <is>
          <t>AD</t>
        </is>
      </c>
      <c r="K297" s="8" t="inlineStr">
        <is>
          <t>Eyes; Cardiovascular</t>
        </is>
      </c>
      <c r="L297" s="8" t="n">
        <v>8</v>
      </c>
      <c r="M297" s="8" t="inlineStr">
        <is>
          <t>HP:0012045; HP:0000662; HP:0000541; HP:0007663; HP:0000543; HP:0000510; HP:0007843; HP:0000512</t>
        </is>
      </c>
      <c r="N297" s="8" t="inlineStr">
        <is>
          <t>Yes</t>
        </is>
      </c>
      <c r="O297" s="8" t="n"/>
      <c r="P297" s="8" t="n"/>
    </row>
    <row r="298">
      <c r="A298" s="8" t="inlineStr">
        <is>
          <t>CILP_0297</t>
        </is>
      </c>
      <c r="B298" s="8" t="inlineStr">
        <is>
          <t>Retinitis Pigmentosa</t>
        </is>
      </c>
      <c r="C298" s="8" t="inlineStr">
        <is>
          <t>RP54</t>
        </is>
      </c>
      <c r="D298" s="8" t="inlineStr">
        <is>
          <t>613428</t>
        </is>
      </c>
      <c r="E298" s="8" t="inlineStr">
        <is>
          <t>OMIM:613428</t>
        </is>
      </c>
      <c r="F298" s="8" t="inlineStr">
        <is>
          <t>OMIM phenotype entry</t>
        </is>
      </c>
      <c r="G298" s="8" t="inlineStr">
        <is>
          <t>Secondary</t>
        </is>
      </c>
      <c r="H298" s="8" t="inlineStr">
        <is>
          <t>Retinal ciliopathy</t>
        </is>
      </c>
      <c r="I298" s="8" t="inlineStr">
        <is>
          <t>PCARE</t>
        </is>
      </c>
      <c r="J298" s="8" t="inlineStr">
        <is>
          <t>AR</t>
        </is>
      </c>
      <c r="K298" s="8" t="inlineStr">
        <is>
          <t>Eyes; Cardiovascular</t>
        </is>
      </c>
      <c r="L298" s="8" t="n">
        <v>7</v>
      </c>
      <c r="M298" s="8" t="inlineStr">
        <is>
          <t>HP:0007737; HP:0001099; HP:0000662; HP:0000505; HP:0000510; HP:0007843; HP:0000512</t>
        </is>
      </c>
      <c r="N298" s="8" t="inlineStr">
        <is>
          <t>Yes</t>
        </is>
      </c>
      <c r="O298" s="8" t="n"/>
      <c r="P298" s="8" t="n"/>
    </row>
    <row r="299">
      <c r="A299" s="8" t="inlineStr">
        <is>
          <t>CILP_0298</t>
        </is>
      </c>
      <c r="B299" s="8" t="inlineStr">
        <is>
          <t>Retinitis Pigmentosa</t>
        </is>
      </c>
      <c r="C299" s="8" t="inlineStr">
        <is>
          <t>RP51</t>
        </is>
      </c>
      <c r="D299" s="8" t="inlineStr">
        <is>
          <t>613464</t>
        </is>
      </c>
      <c r="E299" s="8" t="inlineStr">
        <is>
          <t>OMIM:613464</t>
        </is>
      </c>
      <c r="F299" s="8" t="inlineStr">
        <is>
          <t>OMIM phenotype entry</t>
        </is>
      </c>
      <c r="G299" s="8" t="inlineStr">
        <is>
          <t>Secondary</t>
        </is>
      </c>
      <c r="H299" s="8" t="inlineStr">
        <is>
          <t>Retinal ciliopathy</t>
        </is>
      </c>
      <c r="I299" s="8" t="inlineStr">
        <is>
          <t>TTC8</t>
        </is>
      </c>
      <c r="J299" s="8" t="inlineStr">
        <is>
          <t>AR</t>
        </is>
      </c>
      <c r="K299" s="8" t="inlineStr">
        <is>
          <t>Eyes; Cardiovascular; Growth; Genitourinary; Limbs; Nervous system; Skeletal; Skin</t>
        </is>
      </c>
      <c r="L299" s="8" t="n">
        <v>15</v>
      </c>
      <c r="M299" s="8" t="inlineStr">
        <is>
          <t>HP:0000077; HP:0007737; HP:0000662; HP:0000980; HP:0001263; HP:0010442; HP:0011003; HP:0000608; HP:0008323; HP:0000613; HP:0007663; HP:0000505; HP:0000510; HP:0007843; HP:0001513</t>
        </is>
      </c>
      <c r="N299" s="8" t="inlineStr">
        <is>
          <t>Yes</t>
        </is>
      </c>
      <c r="O299" s="8" t="n"/>
      <c r="P299" s="8" t="n"/>
    </row>
    <row r="300">
      <c r="A300" s="8" t="inlineStr">
        <is>
          <t>CILP_0299</t>
        </is>
      </c>
      <c r="B300" s="8" t="inlineStr">
        <is>
          <t>Retinitis Pigmentosa</t>
        </is>
      </c>
      <c r="C300" s="8" t="inlineStr">
        <is>
          <t>RP55</t>
        </is>
      </c>
      <c r="D300" s="8" t="inlineStr">
        <is>
          <t>613575</t>
        </is>
      </c>
      <c r="E300" s="8" t="inlineStr">
        <is>
          <t>OMIM:613575</t>
        </is>
      </c>
      <c r="F300" s="8" t="inlineStr">
        <is>
          <t>OMIM phenotype entry</t>
        </is>
      </c>
      <c r="G300" s="8" t="inlineStr">
        <is>
          <t>Secondary</t>
        </is>
      </c>
      <c r="H300" s="8" t="inlineStr">
        <is>
          <t>Retinal ciliopathy</t>
        </is>
      </c>
      <c r="I300" s="8" t="inlineStr">
        <is>
          <t>ARL6</t>
        </is>
      </c>
      <c r="J300" s="8" t="inlineStr">
        <is>
          <t>AR</t>
        </is>
      </c>
      <c r="K300" s="8" t="inlineStr">
        <is>
          <t>Eyes</t>
        </is>
      </c>
      <c r="L300" s="8" t="n">
        <v>1</v>
      </c>
      <c r="M300" s="8" t="inlineStr">
        <is>
          <t>HP:0000510</t>
        </is>
      </c>
      <c r="N300" s="8" t="inlineStr">
        <is>
          <t>Yes</t>
        </is>
      </c>
      <c r="O300" s="8" t="n"/>
      <c r="P300" s="8" t="n"/>
    </row>
    <row r="301">
      <c r="A301" s="8" t="inlineStr">
        <is>
          <t>CILP_0300</t>
        </is>
      </c>
      <c r="B301" s="8" t="inlineStr">
        <is>
          <t>Retinitis Pigmentosa</t>
        </is>
      </c>
      <c r="C301" s="8" t="inlineStr">
        <is>
          <t>RP56</t>
        </is>
      </c>
      <c r="D301" s="8" t="inlineStr">
        <is>
          <t>613581</t>
        </is>
      </c>
      <c r="E301" s="8" t="inlineStr">
        <is>
          <t>OMIM:613581</t>
        </is>
      </c>
      <c r="F301" s="8" t="inlineStr">
        <is>
          <t>OMIM phenotype entry</t>
        </is>
      </c>
      <c r="G301" s="8" t="inlineStr">
        <is>
          <t>Secondary</t>
        </is>
      </c>
      <c r="H301" s="8" t="inlineStr">
        <is>
          <t>Retinal ciliopathy</t>
        </is>
      </c>
      <c r="I301" s="8" t="inlineStr">
        <is>
          <t>IMPG2</t>
        </is>
      </c>
      <c r="J301" s="8" t="inlineStr">
        <is>
          <t>AR</t>
        </is>
      </c>
      <c r="K301" s="8" t="inlineStr">
        <is>
          <t>Eyes; Cardiovascular</t>
        </is>
      </c>
      <c r="L301" s="8" t="n">
        <v>12</v>
      </c>
      <c r="M301" s="8" t="inlineStr">
        <is>
          <t>HP:0007737; HP:0000662; HP:0001123; HP:0000580; HP:0030856; HP:0100018; HP:0007663; HP:0007787; HP:0000510; HP:0000543; HP:0007843; HP:0007722</t>
        </is>
      </c>
      <c r="N301" s="8" t="inlineStr">
        <is>
          <t>Yes</t>
        </is>
      </c>
      <c r="O301" s="8" t="n"/>
      <c r="P301" s="8" t="n"/>
    </row>
    <row r="302">
      <c r="A302" s="8" t="inlineStr">
        <is>
          <t>CILP_0301</t>
        </is>
      </c>
      <c r="B302" s="8" t="inlineStr">
        <is>
          <t>Retinitis Pigmentosa</t>
        </is>
      </c>
      <c r="C302" s="8" t="inlineStr">
        <is>
          <t>RP57</t>
        </is>
      </c>
      <c r="D302" s="8" t="inlineStr">
        <is>
          <t>613582</t>
        </is>
      </c>
      <c r="E302" s="8" t="inlineStr">
        <is>
          <t>OMIM:613582</t>
        </is>
      </c>
      <c r="F302" s="8" t="inlineStr">
        <is>
          <t>OMIM phenotype entry</t>
        </is>
      </c>
      <c r="G302" s="8" t="inlineStr">
        <is>
          <t>Secondary</t>
        </is>
      </c>
      <c r="H302" s="8" t="inlineStr">
        <is>
          <t>Retinal ciliopathy</t>
        </is>
      </c>
      <c r="I302" s="8" t="inlineStr">
        <is>
          <t>PDE6G</t>
        </is>
      </c>
      <c r="J302" s="8" t="inlineStr">
        <is>
          <t>AR</t>
        </is>
      </c>
      <c r="K302" s="8" t="inlineStr">
        <is>
          <t>Eyes; Cardiovascular</t>
        </is>
      </c>
      <c r="L302" s="8" t="n">
        <v>8</v>
      </c>
      <c r="M302" s="8" t="inlineStr">
        <is>
          <t>HP:0001133; HP:0007737; HP:0007663; HP:0011505; HP:0000543; HP:0000510; HP:0030825; HP:0007843</t>
        </is>
      </c>
      <c r="N302" s="8" t="inlineStr">
        <is>
          <t>Yes</t>
        </is>
      </c>
      <c r="O302" s="8" t="n"/>
      <c r="P302" s="8" t="n"/>
    </row>
    <row r="303">
      <c r="A303" s="8" t="inlineStr">
        <is>
          <t>CILP_0302</t>
        </is>
      </c>
      <c r="B303" s="8" t="inlineStr">
        <is>
          <t>Retinitis Pigmentosa</t>
        </is>
      </c>
      <c r="C303" s="8" t="inlineStr">
        <is>
          <t>RP58</t>
        </is>
      </c>
      <c r="D303" s="8" t="inlineStr">
        <is>
          <t>613617</t>
        </is>
      </c>
      <c r="E303" s="8" t="inlineStr">
        <is>
          <t>OMIM:613617</t>
        </is>
      </c>
      <c r="F303" s="8" t="inlineStr">
        <is>
          <t>OMIM phenotype entry</t>
        </is>
      </c>
      <c r="G303" s="8" t="inlineStr">
        <is>
          <t>Secondary</t>
        </is>
      </c>
      <c r="H303" s="8" t="inlineStr">
        <is>
          <t>Retinal ciliopathy</t>
        </is>
      </c>
      <c r="I303" s="8" t="inlineStr">
        <is>
          <t>ZNF513</t>
        </is>
      </c>
      <c r="J303" s="8" t="inlineStr">
        <is>
          <t>AR</t>
        </is>
      </c>
      <c r="K303" s="8" t="inlineStr">
        <is>
          <t>Eyes; Cardiovascular</t>
        </is>
      </c>
      <c r="L303" s="8" t="n">
        <v>9</v>
      </c>
      <c r="M303" s="8" t="inlineStr">
        <is>
          <t>HP:0007737; HP:0000662; HP:0000608; HP:0001141; HP:0008323; HP:0007994; HP:0000543; HP:0000510; HP:0007843</t>
        </is>
      </c>
      <c r="N303" s="8" t="inlineStr">
        <is>
          <t>Yes</t>
        </is>
      </c>
      <c r="O303" s="8" t="n"/>
      <c r="P303" s="8" t="n"/>
    </row>
    <row r="304">
      <c r="A304" s="8" t="inlineStr">
        <is>
          <t>CILP_0303</t>
        </is>
      </c>
      <c r="B304" s="8" t="inlineStr">
        <is>
          <t>Retinitis Pigmentosa</t>
        </is>
      </c>
      <c r="C304" s="8" t="inlineStr">
        <is>
          <t>RP65</t>
        </is>
      </c>
      <c r="D304" s="8" t="inlineStr">
        <is>
          <t>613660</t>
        </is>
      </c>
      <c r="E304" s="8" t="inlineStr">
        <is>
          <t>OMIM:613660</t>
        </is>
      </c>
      <c r="F304" s="8" t="inlineStr">
        <is>
          <t>OMIM phenotype entry</t>
        </is>
      </c>
      <c r="G304" s="8" t="inlineStr">
        <is>
          <t>Secondary</t>
        </is>
      </c>
      <c r="H304" s="8" t="inlineStr">
        <is>
          <t>Retinal ciliopathy</t>
        </is>
      </c>
      <c r="I304" s="8" t="inlineStr">
        <is>
          <t>CDHR1</t>
        </is>
      </c>
      <c r="J304" s="8" t="inlineStr">
        <is>
          <t>AR</t>
        </is>
      </c>
      <c r="K304" s="8" t="inlineStr">
        <is>
          <t>Eyes; Cardiovascular; Nervous system</t>
        </is>
      </c>
      <c r="L304" s="8" t="n">
        <v>8</v>
      </c>
      <c r="M304" s="8" t="inlineStr">
        <is>
          <t>HP:0001133; HP:0000662; HP:0000551; HP:0000529; HP:0000613; HP:0000510; HP:0007722; HP:0007843</t>
        </is>
      </c>
      <c r="N304" s="8" t="inlineStr">
        <is>
          <t>Yes</t>
        </is>
      </c>
      <c r="O304" s="8" t="n"/>
      <c r="P304" s="8" t="inlineStr">
        <is>
          <t>Same OMIM entry also curated under Cone-Rod Dystrophy (CILP_0065)</t>
        </is>
      </c>
    </row>
    <row r="305">
      <c r="A305" s="8" t="inlineStr">
        <is>
          <t>CILP_0304</t>
        </is>
      </c>
      <c r="B305" s="8" t="inlineStr">
        <is>
          <t>Retinitis Pigmentosa</t>
        </is>
      </c>
      <c r="C305" s="8" t="inlineStr">
        <is>
          <t>RP4</t>
        </is>
      </c>
      <c r="D305" s="8" t="inlineStr">
        <is>
          <t>613731</t>
        </is>
      </c>
      <c r="E305" s="8" t="inlineStr">
        <is>
          <t>OMIM:613731</t>
        </is>
      </c>
      <c r="F305" s="8" t="inlineStr">
        <is>
          <t>OMIM phenotype entry</t>
        </is>
      </c>
      <c r="G305" s="8" t="inlineStr">
        <is>
          <t>Secondary</t>
        </is>
      </c>
      <c r="H305" s="8" t="inlineStr">
        <is>
          <t>Retinal ciliopathy</t>
        </is>
      </c>
      <c r="I305" s="8" t="inlineStr">
        <is>
          <t>RHO</t>
        </is>
      </c>
      <c r="J305" s="8" t="inlineStr">
        <is>
          <t>AR; AD</t>
        </is>
      </c>
      <c r="K305" s="8" t="inlineStr">
        <is>
          <t>Eyes; Cardiovascular</t>
        </is>
      </c>
      <c r="L305" s="8" t="n">
        <v>11</v>
      </c>
      <c r="M305" s="8" t="inlineStr">
        <is>
          <t>HP:0007737; HP:0000662; HP:0001123; HP:0000580; HP:0000518; HP:0000618; HP:0007663; HP:0000510; HP:0007843; HP:0000512; HP:0001105</t>
        </is>
      </c>
      <c r="N305" s="8" t="inlineStr">
        <is>
          <t>Yes</t>
        </is>
      </c>
      <c r="O305" s="8" t="n"/>
      <c r="P305" s="8" t="n"/>
    </row>
    <row r="306">
      <c r="A306" s="8" t="inlineStr">
        <is>
          <t>CILP_0305</t>
        </is>
      </c>
      <c r="B306" s="8" t="inlineStr">
        <is>
          <t>Retinitis Pigmentosa</t>
        </is>
      </c>
      <c r="C306" s="8" t="inlineStr">
        <is>
          <t>RP27</t>
        </is>
      </c>
      <c r="D306" s="8" t="inlineStr">
        <is>
          <t>613750</t>
        </is>
      </c>
      <c r="E306" s="8" t="inlineStr">
        <is>
          <t>OMIM:613750</t>
        </is>
      </c>
      <c r="F306" s="8" t="inlineStr">
        <is>
          <t>OMIM phenotype entry</t>
        </is>
      </c>
      <c r="G306" s="8" t="inlineStr">
        <is>
          <t>Secondary</t>
        </is>
      </c>
      <c r="H306" s="8" t="inlineStr">
        <is>
          <t>Retinal ciliopathy</t>
        </is>
      </c>
      <c r="I306" s="8" t="inlineStr">
        <is>
          <t>NRL</t>
        </is>
      </c>
      <c r="J306" s="8" t="inlineStr">
        <is>
          <t>INCOMPLETE_PENETRANCE; AD</t>
        </is>
      </c>
      <c r="K306" s="8" t="inlineStr">
        <is>
          <t>Eyes; Cardiovascular</t>
        </is>
      </c>
      <c r="L306" s="8" t="n">
        <v>13</v>
      </c>
      <c r="M306" s="8" t="inlineStr">
        <is>
          <t>HP:0001133; HP:0000550; HP:0007737; HP:0000662; HP:0040049; HP:0000618; HP:0007663; HP:0007950; HP:0000505; HP:0007401; HP:0000510; HP:0007843; HP:0000533</t>
        </is>
      </c>
      <c r="N306" s="8" t="inlineStr">
        <is>
          <t>Yes</t>
        </is>
      </c>
      <c r="O306" s="8" t="n"/>
      <c r="P306" s="8" t="n"/>
    </row>
    <row r="307">
      <c r="A307" s="8" t="inlineStr">
        <is>
          <t>CILP_0306</t>
        </is>
      </c>
      <c r="B307" s="8" t="inlineStr">
        <is>
          <t>Retinitis Pigmentosa</t>
        </is>
      </c>
      <c r="C307" s="8" t="inlineStr">
        <is>
          <t>RP49</t>
        </is>
      </c>
      <c r="D307" s="8" t="inlineStr">
        <is>
          <t>613756</t>
        </is>
      </c>
      <c r="E307" s="8" t="inlineStr">
        <is>
          <t>OMIM:613756</t>
        </is>
      </c>
      <c r="F307" s="8" t="inlineStr">
        <is>
          <t>OMIM phenotype entry</t>
        </is>
      </c>
      <c r="G307" s="8" t="inlineStr">
        <is>
          <t>Secondary</t>
        </is>
      </c>
      <c r="H307" s="8" t="inlineStr">
        <is>
          <t>Retinal ciliopathy</t>
        </is>
      </c>
      <c r="I307" s="8" t="inlineStr">
        <is>
          <t>CNGA1</t>
        </is>
      </c>
      <c r="J307" s="8" t="inlineStr">
        <is>
          <t>AR</t>
        </is>
      </c>
      <c r="K307" s="8" t="inlineStr">
        <is>
          <t>Eyes; Cardiovascular</t>
        </is>
      </c>
      <c r="L307" s="8" t="n">
        <v>7</v>
      </c>
      <c r="M307" s="8" t="inlineStr">
        <is>
          <t>HP:0007737; HP:0000662; HP:0007663; HP:0007994; HP:0000510; HP:0000543; HP:0007843</t>
        </is>
      </c>
      <c r="N307" s="8" t="inlineStr">
        <is>
          <t>Yes</t>
        </is>
      </c>
      <c r="O307" s="8" t="n"/>
      <c r="P307" s="8" t="n"/>
    </row>
    <row r="308">
      <c r="A308" s="8" t="inlineStr">
        <is>
          <t>CILP_0307</t>
        </is>
      </c>
      <c r="B308" s="8" t="inlineStr">
        <is>
          <t>Retinitis Pigmentosa</t>
        </is>
      </c>
      <c r="C308" s="8" t="inlineStr">
        <is>
          <t>RP47</t>
        </is>
      </c>
      <c r="D308" s="8" t="inlineStr">
        <is>
          <t>613758</t>
        </is>
      </c>
      <c r="E308" s="8" t="inlineStr">
        <is>
          <t>OMIM:613758</t>
        </is>
      </c>
      <c r="F308" s="8" t="inlineStr">
        <is>
          <t>OMIM phenotype entry</t>
        </is>
      </c>
      <c r="G308" s="8" t="inlineStr">
        <is>
          <t>Secondary</t>
        </is>
      </c>
      <c r="H308" s="8" t="inlineStr">
        <is>
          <t>Retinal ciliopathy</t>
        </is>
      </c>
      <c r="I308" s="8" t="inlineStr">
        <is>
          <t>SAG</t>
        </is>
      </c>
      <c r="J308" s="8" t="inlineStr">
        <is>
          <t>AR</t>
        </is>
      </c>
      <c r="K308" s="8" t="inlineStr">
        <is>
          <t>Eyes</t>
        </is>
      </c>
      <c r="L308" s="8" t="n">
        <v>6</v>
      </c>
      <c r="M308" s="8" t="inlineStr">
        <is>
          <t>HP:0000662; HP:0000580; HP:0000505; HP:0000510; HP:0000533; HP:0000654</t>
        </is>
      </c>
      <c r="N308" s="8" t="inlineStr">
        <is>
          <t>Yes</t>
        </is>
      </c>
      <c r="O308" s="8" t="n"/>
      <c r="P308" s="8" t="n"/>
    </row>
    <row r="309">
      <c r="A309" s="8" t="inlineStr">
        <is>
          <t>CILP_0308</t>
        </is>
      </c>
      <c r="B309" s="8" t="inlineStr">
        <is>
          <t>Retinitis Pigmentosa</t>
        </is>
      </c>
      <c r="C309" s="8" t="inlineStr">
        <is>
          <t>RP45</t>
        </is>
      </c>
      <c r="D309" s="8" t="inlineStr">
        <is>
          <t>613767</t>
        </is>
      </c>
      <c r="E309" s="8" t="inlineStr">
        <is>
          <t>OMIM:613767</t>
        </is>
      </c>
      <c r="F309" s="8" t="inlineStr">
        <is>
          <t>OMIM phenotype entry</t>
        </is>
      </c>
      <c r="G309" s="8" t="inlineStr">
        <is>
          <t>Secondary</t>
        </is>
      </c>
      <c r="H309" s="8" t="inlineStr">
        <is>
          <t>Retinal ciliopathy</t>
        </is>
      </c>
      <c r="I309" s="8" t="inlineStr">
        <is>
          <t>CNGB1</t>
        </is>
      </c>
      <c r="J309" s="8" t="inlineStr">
        <is>
          <t>AR</t>
        </is>
      </c>
      <c r="K309" s="8" t="inlineStr">
        <is>
          <t>Eyes</t>
        </is>
      </c>
      <c r="L309" s="8" t="n">
        <v>6</v>
      </c>
      <c r="M309" s="8" t="inlineStr">
        <is>
          <t>HP:0007737; HP:0000662; HP:0000608; HP:0007994; HP:0000510; HP:0000512</t>
        </is>
      </c>
      <c r="N309" s="8" t="inlineStr">
        <is>
          <t>Yes</t>
        </is>
      </c>
      <c r="O309" s="8" t="n"/>
      <c r="P309" s="8" t="n"/>
    </row>
    <row r="310">
      <c r="A310" s="8" t="inlineStr">
        <is>
          <t>CILP_0309</t>
        </is>
      </c>
      <c r="B310" s="8" t="inlineStr">
        <is>
          <t>Retinitis Pigmentosa</t>
        </is>
      </c>
      <c r="C310" s="8" t="inlineStr">
        <is>
          <t>RP44</t>
        </is>
      </c>
      <c r="D310" s="8" t="inlineStr">
        <is>
          <t>613769</t>
        </is>
      </c>
      <c r="E310" s="8" t="inlineStr">
        <is>
          <t>OMIM:613769</t>
        </is>
      </c>
      <c r="F310" s="8" t="inlineStr">
        <is>
          <t>OMIM phenotype entry</t>
        </is>
      </c>
      <c r="G310" s="8" t="inlineStr">
        <is>
          <t>Secondary</t>
        </is>
      </c>
      <c r="H310" s="8" t="inlineStr">
        <is>
          <t>Retinal ciliopathy</t>
        </is>
      </c>
      <c r="I310" s="8" t="inlineStr">
        <is>
          <t>RGR</t>
        </is>
      </c>
      <c r="J310" s="8" t="inlineStr">
        <is>
          <t>AR; AD</t>
        </is>
      </c>
      <c r="K310" s="8" t="inlineStr">
        <is>
          <t>Eyes; Cardiovascular</t>
        </is>
      </c>
      <c r="L310" s="8" t="n">
        <v>5</v>
      </c>
      <c r="M310" s="8" t="inlineStr">
        <is>
          <t>HP:0001133; HP:0000505; HP:0000510; HP:0007843; HP:0000654</t>
        </is>
      </c>
      <c r="N310" s="8" t="inlineStr">
        <is>
          <t>Yes</t>
        </is>
      </c>
      <c r="O310" s="8" t="n"/>
      <c r="P310" s="8" t="n"/>
    </row>
    <row r="311">
      <c r="A311" s="8" t="inlineStr">
        <is>
          <t>CILP_0310</t>
        </is>
      </c>
      <c r="B311" s="8" t="inlineStr">
        <is>
          <t>Retinitis Pigmentosa</t>
        </is>
      </c>
      <c r="C311" s="8" t="inlineStr">
        <is>
          <t>RP20</t>
        </is>
      </c>
      <c r="D311" s="8" t="inlineStr">
        <is>
          <t>613794</t>
        </is>
      </c>
      <c r="E311" s="8" t="inlineStr">
        <is>
          <t>OMIM:613794</t>
        </is>
      </c>
      <c r="F311" s="8" t="inlineStr">
        <is>
          <t>OMIM phenotype entry</t>
        </is>
      </c>
      <c r="G311" s="8" t="inlineStr">
        <is>
          <t>Secondary</t>
        </is>
      </c>
      <c r="H311" s="8" t="inlineStr">
        <is>
          <t>Retinal ciliopathy</t>
        </is>
      </c>
      <c r="I311" s="8" t="inlineStr">
        <is>
          <t>RPE65</t>
        </is>
      </c>
      <c r="J311" s="8" t="inlineStr">
        <is>
          <t>AR</t>
        </is>
      </c>
      <c r="K311" s="8" t="inlineStr">
        <is>
          <t>Eyes; Cardiovascular</t>
        </is>
      </c>
      <c r="L311" s="8" t="n">
        <v>6</v>
      </c>
      <c r="M311" s="8" t="inlineStr">
        <is>
          <t>HP:0000662; HP:0000639; HP:0001141; HP:0000505; HP:0000510; HP:0007843</t>
        </is>
      </c>
      <c r="N311" s="8" t="inlineStr">
        <is>
          <t>Yes</t>
        </is>
      </c>
      <c r="O311" s="8" t="n"/>
      <c r="P311" s="8" t="n"/>
    </row>
    <row r="312">
      <c r="A312" s="8" t="inlineStr">
        <is>
          <t>CILP_0311</t>
        </is>
      </c>
      <c r="B312" s="8" t="inlineStr">
        <is>
          <t>Retinitis Pigmentosa</t>
        </is>
      </c>
      <c r="C312" s="8" t="inlineStr">
        <is>
          <t>RP40</t>
        </is>
      </c>
      <c r="D312" s="8" t="inlineStr">
        <is>
          <t>613801</t>
        </is>
      </c>
      <c r="E312" s="8" t="inlineStr">
        <is>
          <t>OMIM:613801</t>
        </is>
      </c>
      <c r="F312" s="8" t="inlineStr">
        <is>
          <t>OMIM phenotype entry</t>
        </is>
      </c>
      <c r="G312" s="8" t="inlineStr">
        <is>
          <t>Secondary</t>
        </is>
      </c>
      <c r="H312" s="8" t="inlineStr">
        <is>
          <t>Retinal ciliopathy</t>
        </is>
      </c>
      <c r="I312" s="8" t="inlineStr">
        <is>
          <t>PDE6B</t>
        </is>
      </c>
      <c r="J312" s="8" t="inlineStr">
        <is>
          <t>AR</t>
        </is>
      </c>
      <c r="K312" s="8" t="inlineStr">
        <is>
          <t>Eyes; Cardiovascular</t>
        </is>
      </c>
      <c r="L312" s="8" t="n">
        <v>6</v>
      </c>
      <c r="M312" s="8" t="inlineStr">
        <is>
          <t>HP:0007737; HP:0000662; HP:0000518; HP:0008323; HP:0000510; HP:0007843</t>
        </is>
      </c>
      <c r="N312" s="8" t="inlineStr">
        <is>
          <t>Yes</t>
        </is>
      </c>
      <c r="O312" s="8" t="n"/>
      <c r="P312" s="8" t="n"/>
    </row>
    <row r="313">
      <c r="A313" s="8" t="inlineStr">
        <is>
          <t>CILP_0312</t>
        </is>
      </c>
      <c r="B313" s="8" t="inlineStr">
        <is>
          <t>Retinitis Pigmentosa</t>
        </is>
      </c>
      <c r="C313" s="8" t="inlineStr">
        <is>
          <t>RP39</t>
        </is>
      </c>
      <c r="D313" s="8" t="inlineStr">
        <is>
          <t>613809</t>
        </is>
      </c>
      <c r="E313" s="8" t="inlineStr">
        <is>
          <t>OMIM:613809</t>
        </is>
      </c>
      <c r="F313" s="8" t="inlineStr">
        <is>
          <t>OMIM phenotype entry</t>
        </is>
      </c>
      <c r="G313" s="8" t="inlineStr">
        <is>
          <t>Secondary</t>
        </is>
      </c>
      <c r="H313" s="8" t="inlineStr">
        <is>
          <t>Retinal ciliopathy</t>
        </is>
      </c>
      <c r="I313" s="8" t="inlineStr">
        <is>
          <t>USH2A</t>
        </is>
      </c>
      <c r="J313" s="8" t="inlineStr">
        <is>
          <t>AR</t>
        </is>
      </c>
      <c r="K313" s="8" t="inlineStr">
        <is>
          <t>Eyes; Cardiovascular</t>
        </is>
      </c>
      <c r="L313" s="8" t="n">
        <v>6</v>
      </c>
      <c r="M313" s="8" t="inlineStr">
        <is>
          <t>HP:0007737; HP:0001123; HP:0000505; HP:0000510; HP:0007843; HP:0000512</t>
        </is>
      </c>
      <c r="N313" s="8" t="inlineStr">
        <is>
          <t>Yes</t>
        </is>
      </c>
      <c r="O313" s="8" t="n"/>
      <c r="P313" s="8" t="n"/>
    </row>
    <row r="314">
      <c r="A314" s="8" t="inlineStr">
        <is>
          <t>CILP_0313</t>
        </is>
      </c>
      <c r="B314" s="8" t="inlineStr">
        <is>
          <t>Retinitis Pigmentosa</t>
        </is>
      </c>
      <c r="C314" s="8" t="inlineStr">
        <is>
          <t>RP43</t>
        </is>
      </c>
      <c r="D314" s="8" t="inlineStr">
        <is>
          <t>613810</t>
        </is>
      </c>
      <c r="E314" s="8" t="inlineStr">
        <is>
          <t>OMIM:613810</t>
        </is>
      </c>
      <c r="F314" s="8" t="inlineStr">
        <is>
          <t>OMIM phenotype entry</t>
        </is>
      </c>
      <c r="G314" s="8" t="inlineStr">
        <is>
          <t>Secondary</t>
        </is>
      </c>
      <c r="H314" s="8" t="inlineStr">
        <is>
          <t>Retinal ciliopathy</t>
        </is>
      </c>
      <c r="I314" s="8" t="inlineStr">
        <is>
          <t>PDE6A</t>
        </is>
      </c>
      <c r="J314" s="8" t="inlineStr">
        <is>
          <t>AR</t>
        </is>
      </c>
      <c r="K314" s="8" t="inlineStr">
        <is>
          <t>Eyes; Cardiovascular</t>
        </is>
      </c>
      <c r="L314" s="8" t="n">
        <v>10</v>
      </c>
      <c r="M314" s="8" t="inlineStr">
        <is>
          <t>HP:0007737; HP:0000662; HP:0000580; HP:0000505; HP:0007994; HP:0000543; HP:0000510; HP:0007787; HP:0007843; HP:0000512</t>
        </is>
      </c>
      <c r="N314" s="8" t="inlineStr">
        <is>
          <t>Yes</t>
        </is>
      </c>
      <c r="O314" s="8" t="n"/>
      <c r="P314" s="8" t="n"/>
    </row>
    <row r="315">
      <c r="A315" s="8" t="inlineStr">
        <is>
          <t>CILP_0314</t>
        </is>
      </c>
      <c r="B315" s="8" t="inlineStr">
        <is>
          <t>Retinitis Pigmentosa</t>
        </is>
      </c>
      <c r="C315" s="8" t="inlineStr">
        <is>
          <t>RP48</t>
        </is>
      </c>
      <c r="D315" s="8" t="inlineStr">
        <is>
          <t>613827</t>
        </is>
      </c>
      <c r="E315" s="8" t="inlineStr">
        <is>
          <t>OMIM:613827</t>
        </is>
      </c>
      <c r="F315" s="8" t="inlineStr">
        <is>
          <t>OMIM phenotype entry</t>
        </is>
      </c>
      <c r="G315" s="8" t="inlineStr">
        <is>
          <t>Secondary</t>
        </is>
      </c>
      <c r="H315" s="8" t="inlineStr">
        <is>
          <t>Retinal ciliopathy</t>
        </is>
      </c>
      <c r="I315" s="8" t="inlineStr">
        <is>
          <t>GUCA1B</t>
        </is>
      </c>
      <c r="J315" s="8" t="inlineStr">
        <is>
          <t>AD</t>
        </is>
      </c>
      <c r="K315" s="8" t="inlineStr">
        <is>
          <t>Eyes</t>
        </is>
      </c>
      <c r="L315" s="8" t="n">
        <v>3</v>
      </c>
      <c r="M315" s="8" t="inlineStr">
        <is>
          <t>HP:0000608; HP:0000505; HP:0000510</t>
        </is>
      </c>
      <c r="N315" s="8" t="inlineStr">
        <is>
          <t>Yes</t>
        </is>
      </c>
      <c r="O315" s="8" t="n"/>
      <c r="P315" s="8" t="n"/>
    </row>
    <row r="316">
      <c r="A316" s="8" t="inlineStr">
        <is>
          <t>CILP_0315</t>
        </is>
      </c>
      <c r="B316" s="8" t="inlineStr">
        <is>
          <t>Retinitis Pigmentosa</t>
        </is>
      </c>
      <c r="C316" s="8" t="inlineStr">
        <is>
          <t>RP59</t>
        </is>
      </c>
      <c r="D316" s="8" t="inlineStr">
        <is>
          <t>613861</t>
        </is>
      </c>
      <c r="E316" s="8" t="inlineStr">
        <is>
          <t>OMIM:613861</t>
        </is>
      </c>
      <c r="F316" s="8" t="inlineStr">
        <is>
          <t>OMIM phenotype entry</t>
        </is>
      </c>
      <c r="G316" s="8" t="inlineStr">
        <is>
          <t>Secondary</t>
        </is>
      </c>
      <c r="H316" s="8" t="inlineStr">
        <is>
          <t>Retinal ciliopathy</t>
        </is>
      </c>
      <c r="I316" s="8" t="inlineStr">
        <is>
          <t>DHDDS</t>
        </is>
      </c>
      <c r="J316" s="8" t="inlineStr">
        <is>
          <t>AR</t>
        </is>
      </c>
      <c r="K316" s="8" t="inlineStr">
        <is>
          <t>Abdomen; Eyes; Ears; Growth; Genitourinary; Nervous system; Metabolism; Skeletal</t>
        </is>
      </c>
      <c r="L316" s="8" t="n">
        <v>17</v>
      </c>
      <c r="M316" s="8" t="inlineStr">
        <is>
          <t>HP:0008936; HP:0001133; HP:0000054; HP:0000662; HP:0011968; HP:0001250; HP:0000083; HP:0002240; HP:0011505; HP:0001508; HP:0000407; HP:0007663; HP:0001511; HP:0000510; HP:0002910; HP:0001257; HP:0000028</t>
        </is>
      </c>
      <c r="N316" s="8" t="inlineStr">
        <is>
          <t>Yes</t>
        </is>
      </c>
      <c r="O316" s="8" t="n"/>
      <c r="P316" s="8" t="n"/>
    </row>
    <row r="317">
      <c r="A317" s="8" t="inlineStr">
        <is>
          <t>CILP_0316</t>
        </is>
      </c>
      <c r="B317" s="8" t="inlineStr">
        <is>
          <t>Retinitis Pigmentosa</t>
        </is>
      </c>
      <c r="C317" s="8" t="inlineStr">
        <is>
          <t>RP38</t>
        </is>
      </c>
      <c r="D317" s="8" t="inlineStr">
        <is>
          <t>613862</t>
        </is>
      </c>
      <c r="E317" s="8" t="inlineStr">
        <is>
          <t>OMIM:613862</t>
        </is>
      </c>
      <c r="F317" s="8" t="inlineStr">
        <is>
          <t>OMIM phenotype entry</t>
        </is>
      </c>
      <c r="G317" s="8" t="inlineStr">
        <is>
          <t>Secondary</t>
        </is>
      </c>
      <c r="H317" s="8" t="inlineStr">
        <is>
          <t>Retinal ciliopathy</t>
        </is>
      </c>
      <c r="I317" s="8" t="inlineStr">
        <is>
          <t>MERTK</t>
        </is>
      </c>
      <c r="J317" s="8" t="inlineStr">
        <is>
          <t>AR</t>
        </is>
      </c>
      <c r="K317" s="8" t="inlineStr">
        <is>
          <t>Eyes</t>
        </is>
      </c>
      <c r="L317" s="8" t="n">
        <v>7</v>
      </c>
      <c r="M317" s="8" t="inlineStr">
        <is>
          <t>HP:0001133; HP:0000662; HP:0200070; HP:0000529; HP:0007401; HP:0000543; HP:0000510</t>
        </is>
      </c>
      <c r="N317" s="8" t="inlineStr">
        <is>
          <t>Yes</t>
        </is>
      </c>
      <c r="O317" s="8" t="n"/>
      <c r="P317" s="8" t="n"/>
    </row>
    <row r="318">
      <c r="A318" s="8" t="inlineStr">
        <is>
          <t>CILP_0317</t>
        </is>
      </c>
      <c r="B318" s="8" t="inlineStr">
        <is>
          <t>Retinitis Pigmentosa</t>
        </is>
      </c>
      <c r="C318" s="8" t="inlineStr">
        <is>
          <t>RP60</t>
        </is>
      </c>
      <c r="D318" s="8" t="inlineStr">
        <is>
          <t>613983</t>
        </is>
      </c>
      <c r="E318" s="8" t="inlineStr">
        <is>
          <t>OMIM:613983</t>
        </is>
      </c>
      <c r="F318" s="8" t="inlineStr">
        <is>
          <t>OMIM phenotype entry</t>
        </is>
      </c>
      <c r="G318" s="8" t="inlineStr">
        <is>
          <t>Secondary</t>
        </is>
      </c>
      <c r="H318" s="8" t="inlineStr">
        <is>
          <t>Retinal ciliopathy</t>
        </is>
      </c>
      <c r="I318" s="8" t="inlineStr">
        <is>
          <t>PRPF6</t>
        </is>
      </c>
      <c r="J318" s="8" t="inlineStr">
        <is>
          <t>AD</t>
        </is>
      </c>
      <c r="K318" s="8" t="inlineStr">
        <is>
          <t>Eyes; Cardiovascular</t>
        </is>
      </c>
      <c r="L318" s="8" t="n">
        <v>11</v>
      </c>
      <c r="M318" s="8" t="inlineStr">
        <is>
          <t>HP:0001133; HP:0007737; HP:0000662; HP:0007663; HP:0000505; HP:0007994; HP:0000510; HP:0007787; HP:0000543; HP:0007722; HP:0007843</t>
        </is>
      </c>
      <c r="N318" s="8" t="inlineStr">
        <is>
          <t>Yes</t>
        </is>
      </c>
      <c r="O318" s="8" t="n"/>
      <c r="P318" s="8" t="n"/>
    </row>
    <row r="319">
      <c r="A319" s="8" t="inlineStr">
        <is>
          <t>CILP_0318</t>
        </is>
      </c>
      <c r="B319" s="8" t="inlineStr">
        <is>
          <t>Retinitis Pigmentosa</t>
        </is>
      </c>
      <c r="C319" s="8" t="inlineStr">
        <is>
          <t>RP61</t>
        </is>
      </c>
      <c r="D319" s="8" t="inlineStr">
        <is>
          <t>614180</t>
        </is>
      </c>
      <c r="E319" s="8" t="inlineStr">
        <is>
          <t>OMIM:614180</t>
        </is>
      </c>
      <c r="F319" s="8" t="inlineStr">
        <is>
          <t>OMIM phenotype entry</t>
        </is>
      </c>
      <c r="G319" s="8" t="inlineStr">
        <is>
          <t>Secondary</t>
        </is>
      </c>
      <c r="H319" s="8" t="inlineStr">
        <is>
          <t>Retinal ciliopathy</t>
        </is>
      </c>
      <c r="I319" s="8" t="inlineStr">
        <is>
          <t>CLRN1</t>
        </is>
      </c>
      <c r="J319" s="8" t="inlineStr">
        <is>
          <t>AR</t>
        </is>
      </c>
      <c r="K319" s="8" t="inlineStr">
        <is>
          <t>Eyes; Cardiovascular</t>
        </is>
      </c>
      <c r="L319" s="8" t="n">
        <v>6</v>
      </c>
      <c r="M319" s="8" t="inlineStr">
        <is>
          <t>HP:0007737; HP:0000662; HP:0000505; HP:0007688; HP:0000510; HP:0007843</t>
        </is>
      </c>
      <c r="N319" s="8" t="inlineStr">
        <is>
          <t>Yes</t>
        </is>
      </c>
      <c r="O319" s="8" t="n"/>
      <c r="P319" s="8" t="n"/>
    </row>
    <row r="320">
      <c r="A320" s="8" t="inlineStr">
        <is>
          <t>CILP_0319</t>
        </is>
      </c>
      <c r="B320" s="8" t="inlineStr">
        <is>
          <t>Retinitis Pigmentosa</t>
        </is>
      </c>
      <c r="C320" s="8" t="inlineStr">
        <is>
          <t>RP62</t>
        </is>
      </c>
      <c r="D320" s="8" t="inlineStr">
        <is>
          <t>614181</t>
        </is>
      </c>
      <c r="E320" s="8" t="inlineStr">
        <is>
          <t>OMIM:614181</t>
        </is>
      </c>
      <c r="F320" s="8" t="inlineStr">
        <is>
          <t>OMIM phenotype entry</t>
        </is>
      </c>
      <c r="G320" s="8" t="inlineStr">
        <is>
          <t>Secondary</t>
        </is>
      </c>
      <c r="H320" s="8" t="inlineStr">
        <is>
          <t>Retinal ciliopathy</t>
        </is>
      </c>
      <c r="I320" s="8" t="inlineStr">
        <is>
          <t>MAK</t>
        </is>
      </c>
      <c r="J320" s="8" t="inlineStr">
        <is>
          <t>AR</t>
        </is>
      </c>
      <c r="K320" s="8" t="inlineStr">
        <is>
          <t>Eyes; Cardiovascular</t>
        </is>
      </c>
      <c r="L320" s="8" t="n">
        <v>8</v>
      </c>
      <c r="M320" s="8" t="inlineStr">
        <is>
          <t>HP:0007737; HP:0000662; HP:0001123; HP:0007663; HP:0000543; HP:0000510; HP:0007843; HP:0011504</t>
        </is>
      </c>
      <c r="N320" s="8" t="inlineStr">
        <is>
          <t>Yes</t>
        </is>
      </c>
      <c r="O320" s="8" t="n"/>
      <c r="P320" s="8" t="n"/>
    </row>
    <row r="321">
      <c r="A321" s="8" t="inlineStr">
        <is>
          <t>CILP_0320</t>
        </is>
      </c>
      <c r="B321" s="8" t="inlineStr">
        <is>
          <t>Retinitis Pigmentosa</t>
        </is>
      </c>
      <c r="C321" s="8" t="inlineStr">
        <is>
          <t>RP64</t>
        </is>
      </c>
      <c r="D321" s="8" t="inlineStr">
        <is>
          <t>614500</t>
        </is>
      </c>
      <c r="E321" s="8" t="inlineStr">
        <is>
          <t>OMIM:614500</t>
        </is>
      </c>
      <c r="F321" s="8" t="inlineStr">
        <is>
          <t>OMIM phenotype entry</t>
        </is>
      </c>
      <c r="G321" s="8" t="inlineStr">
        <is>
          <t>Secondary</t>
        </is>
      </c>
      <c r="H321" s="8" t="inlineStr">
        <is>
          <t>Retinal ciliopathy</t>
        </is>
      </c>
      <c r="I321" s="8" t="inlineStr">
        <is>
          <t>C8orf37</t>
        </is>
      </c>
      <c r="J321" s="8" t="inlineStr">
        <is>
          <t>AR</t>
        </is>
      </c>
      <c r="K321" s="8" t="inlineStr">
        <is>
          <t>Eyes; Cardiovascular; Limbs; Nervous system; Skeletal</t>
        </is>
      </c>
      <c r="L321" s="8" t="n">
        <v>13</v>
      </c>
      <c r="M321" s="8" t="inlineStr">
        <is>
          <t>HP:0007737; HP:0000662; HP:0025147; HP:0100259; HP:0000529; HP:0000518; HP:0000613; HP:0007663; HP:0000548; HP:0007401; HP:0000543; HP:0000510; HP:0007843</t>
        </is>
      </c>
      <c r="N321" s="8" t="inlineStr">
        <is>
          <t>Yes</t>
        </is>
      </c>
      <c r="O321" s="8" t="n"/>
      <c r="P321" s="8" t="inlineStr">
        <is>
          <t>Same OMIM entry also curated under Cone-Rod Dystrophy (CILP_0066)</t>
        </is>
      </c>
    </row>
    <row r="322">
      <c r="A322" s="8" t="inlineStr">
        <is>
          <t>CILP_0321</t>
        </is>
      </c>
      <c r="B322" s="8" t="inlineStr">
        <is>
          <t>Retinitis Pigmentosa</t>
        </is>
      </c>
      <c r="C322" s="8" t="inlineStr">
        <is>
          <t>RP66</t>
        </is>
      </c>
      <c r="D322" s="8" t="inlineStr">
        <is>
          <t>615233</t>
        </is>
      </c>
      <c r="E322" s="8" t="inlineStr">
        <is>
          <t>OMIM:615233</t>
        </is>
      </c>
      <c r="F322" s="8" t="inlineStr">
        <is>
          <t>OMIM phenotype entry</t>
        </is>
      </c>
      <c r="G322" s="8" t="inlineStr">
        <is>
          <t>Secondary</t>
        </is>
      </c>
      <c r="H322" s="8" t="inlineStr">
        <is>
          <t>Retinal ciliopathy</t>
        </is>
      </c>
      <c r="I322" s="8" t="inlineStr">
        <is>
          <t>RBP3</t>
        </is>
      </c>
      <c r="J322" s="8" t="inlineStr">
        <is>
          <t>AR</t>
        </is>
      </c>
      <c r="K322" s="8" t="inlineStr">
        <is>
          <t>Eyes</t>
        </is>
      </c>
      <c r="L322" s="8" t="n">
        <v>9</v>
      </c>
      <c r="M322" s="8" t="inlineStr">
        <is>
          <t>HP:0001133; HP:0007737; HP:0000662; HP:0007663; HP:0000505; HP:0000603; HP:0000543; HP:0007787; HP:0000510</t>
        </is>
      </c>
      <c r="N322" s="8" t="inlineStr">
        <is>
          <t>Yes</t>
        </is>
      </c>
      <c r="O322" s="8" t="n"/>
      <c r="P322" s="8" t="n"/>
    </row>
    <row r="323">
      <c r="A323" s="8" t="inlineStr">
        <is>
          <t>CILP_0322</t>
        </is>
      </c>
      <c r="B323" s="8" t="inlineStr">
        <is>
          <t>Retinitis Pigmentosa</t>
        </is>
      </c>
      <c r="C323" s="8" t="inlineStr">
        <is>
          <t>RP67</t>
        </is>
      </c>
      <c r="D323" s="8" t="inlineStr">
        <is>
          <t>615565</t>
        </is>
      </c>
      <c r="E323" s="8" t="inlineStr">
        <is>
          <t>OMIM:615565</t>
        </is>
      </c>
      <c r="F323" s="8" t="inlineStr">
        <is>
          <t>OMIM phenotype entry</t>
        </is>
      </c>
      <c r="G323" s="8" t="inlineStr">
        <is>
          <t>Secondary</t>
        </is>
      </c>
      <c r="H323" s="8" t="inlineStr">
        <is>
          <t>Retinal ciliopathy</t>
        </is>
      </c>
      <c r="I323" s="8" t="inlineStr">
        <is>
          <t>NEK2</t>
        </is>
      </c>
      <c r="J323" s="8" t="inlineStr">
        <is>
          <t>AR</t>
        </is>
      </c>
      <c r="K323" s="8" t="inlineStr">
        <is>
          <t>Eyes</t>
        </is>
      </c>
      <c r="L323" s="8" t="n">
        <v>1</v>
      </c>
      <c r="M323" s="8" t="inlineStr">
        <is>
          <t>HP:0000510</t>
        </is>
      </c>
      <c r="N323" s="8" t="inlineStr">
        <is>
          <t>No</t>
        </is>
      </c>
      <c r="O323" s="8" t="inlineStr">
        <is>
          <t>Exact duplicate of CILP_0299 (identical features, same family)</t>
        </is>
      </c>
      <c r="P323" s="8" t="n"/>
    </row>
    <row r="324">
      <c r="A324" s="8" t="inlineStr">
        <is>
          <t>CILP_0323</t>
        </is>
      </c>
      <c r="B324" s="8" t="inlineStr">
        <is>
          <t>Retinitis Pigmentosa</t>
        </is>
      </c>
      <c r="C324" s="8" t="inlineStr">
        <is>
          <t>RP68</t>
        </is>
      </c>
      <c r="D324" s="8" t="inlineStr">
        <is>
          <t>615725</t>
        </is>
      </c>
      <c r="E324" s="8" t="inlineStr">
        <is>
          <t>OMIM:615725</t>
        </is>
      </c>
      <c r="F324" s="8" t="inlineStr">
        <is>
          <t>OMIM phenotype entry</t>
        </is>
      </c>
      <c r="G324" s="8" t="inlineStr">
        <is>
          <t>Secondary</t>
        </is>
      </c>
      <c r="H324" s="8" t="inlineStr">
        <is>
          <t>Retinal ciliopathy</t>
        </is>
      </c>
      <c r="I324" s="8" t="inlineStr">
        <is>
          <t>SLC7A14</t>
        </is>
      </c>
      <c r="J324" s="8" t="inlineStr">
        <is>
          <t>AR</t>
        </is>
      </c>
      <c r="K324" s="8" t="inlineStr">
        <is>
          <t>Eyes</t>
        </is>
      </c>
      <c r="L324" s="8" t="n">
        <v>6</v>
      </c>
      <c r="M324" s="8" t="inlineStr">
        <is>
          <t>HP:0007737; HP:0000662; HP:0001123; HP:0007663; HP:0000510; HP:0001105</t>
        </is>
      </c>
      <c r="N324" s="8" t="inlineStr">
        <is>
          <t>Yes</t>
        </is>
      </c>
      <c r="O324" s="8" t="n"/>
      <c r="P324" s="8" t="n"/>
    </row>
    <row r="325">
      <c r="A325" s="8" t="inlineStr">
        <is>
          <t>CILP_0324</t>
        </is>
      </c>
      <c r="B325" s="8" t="inlineStr">
        <is>
          <t>Retinitis Pigmentosa</t>
        </is>
      </c>
      <c r="C325" s="8" t="inlineStr">
        <is>
          <t>RP69</t>
        </is>
      </c>
      <c r="D325" s="8" t="inlineStr">
        <is>
          <t>615780</t>
        </is>
      </c>
      <c r="E325" s="8" t="inlineStr">
        <is>
          <t>OMIM:615780</t>
        </is>
      </c>
      <c r="F325" s="8" t="inlineStr">
        <is>
          <t>OMIM phenotype entry</t>
        </is>
      </c>
      <c r="G325" s="8" t="inlineStr">
        <is>
          <t>Secondary</t>
        </is>
      </c>
      <c r="H325" s="8" t="inlineStr">
        <is>
          <t>Retinal ciliopathy</t>
        </is>
      </c>
      <c r="I325" s="8" t="inlineStr">
        <is>
          <t>KIZ</t>
        </is>
      </c>
      <c r="J325" s="8" t="inlineStr">
        <is>
          <t>AR</t>
        </is>
      </c>
      <c r="K325" s="8" t="inlineStr">
        <is>
          <t>Eyes</t>
        </is>
      </c>
      <c r="L325" s="8" t="n">
        <v>7</v>
      </c>
      <c r="M325" s="8" t="inlineStr">
        <is>
          <t>HP:0001133; HP:0000550; HP:0034272; HP:0000662; HP:0000580; HP:0007663; HP:0000510</t>
        </is>
      </c>
      <c r="N325" s="8" t="inlineStr">
        <is>
          <t>Yes</t>
        </is>
      </c>
      <c r="O325" s="8" t="n"/>
      <c r="P325" s="8" t="n"/>
    </row>
    <row r="326">
      <c r="A326" s="8" t="inlineStr">
        <is>
          <t>CILP_0325</t>
        </is>
      </c>
      <c r="B326" s="8" t="inlineStr">
        <is>
          <t>Retinitis Pigmentosa</t>
        </is>
      </c>
      <c r="C326" s="8" t="inlineStr">
        <is>
          <t>RP70</t>
        </is>
      </c>
      <c r="D326" s="8" t="inlineStr">
        <is>
          <t>615922</t>
        </is>
      </c>
      <c r="E326" s="8" t="inlineStr">
        <is>
          <t>OMIM:615922</t>
        </is>
      </c>
      <c r="F326" s="8" t="inlineStr">
        <is>
          <t>OMIM phenotype entry</t>
        </is>
      </c>
      <c r="G326" s="8" t="inlineStr">
        <is>
          <t>Secondary</t>
        </is>
      </c>
      <c r="H326" s="8" t="inlineStr">
        <is>
          <t>Retinal ciliopathy</t>
        </is>
      </c>
      <c r="I326" s="8" t="inlineStr">
        <is>
          <t>PRPF4</t>
        </is>
      </c>
      <c r="J326" s="8" t="inlineStr">
        <is>
          <t>AD</t>
        </is>
      </c>
      <c r="K326" s="8" t="inlineStr">
        <is>
          <t>Eyes; Cardiovascular</t>
        </is>
      </c>
      <c r="L326" s="8" t="n">
        <v>8</v>
      </c>
      <c r="M326" s="8" t="inlineStr">
        <is>
          <t>HP:0001133; HP:0000662; HP:0000608; HP:0000546; HP:0007663; HP:0000543; HP:0000510; HP:0007843</t>
        </is>
      </c>
      <c r="N326" s="8" t="inlineStr">
        <is>
          <t>Yes</t>
        </is>
      </c>
      <c r="O326" s="8" t="n"/>
      <c r="P326" s="8" t="n"/>
    </row>
    <row r="327">
      <c r="A327" s="8" t="inlineStr">
        <is>
          <t>CILP_0326</t>
        </is>
      </c>
      <c r="B327" s="8" t="inlineStr">
        <is>
          <t>Retinitis Pigmentosa</t>
        </is>
      </c>
      <c r="C327" s="8" t="inlineStr">
        <is>
          <t>RP71</t>
        </is>
      </c>
      <c r="D327" s="8" t="inlineStr">
        <is>
          <t>616394</t>
        </is>
      </c>
      <c r="E327" s="8" t="inlineStr">
        <is>
          <t>OMIM:616394</t>
        </is>
      </c>
      <c r="F327" s="8" t="inlineStr">
        <is>
          <t>OMIM phenotype entry</t>
        </is>
      </c>
      <c r="G327" s="8" t="inlineStr">
        <is>
          <t>Secondary</t>
        </is>
      </c>
      <c r="H327" s="8" t="inlineStr">
        <is>
          <t>Retinal ciliopathy</t>
        </is>
      </c>
      <c r="I327" s="8" t="inlineStr">
        <is>
          <t>IFT172</t>
        </is>
      </c>
      <c r="J327" s="8" t="inlineStr">
        <is>
          <t>AR</t>
        </is>
      </c>
      <c r="K327" s="8" t="inlineStr">
        <is>
          <t>Eyes; Cardiovascular; Skeletal</t>
        </is>
      </c>
      <c r="L327" s="8" t="n">
        <v>7</v>
      </c>
      <c r="M327" s="8" t="inlineStr">
        <is>
          <t>HP:0000662; HP:0002650; HP:0012426; HP:0030629; HP:0000543; HP:0000510; HP:0007843</t>
        </is>
      </c>
      <c r="N327" s="8" t="inlineStr">
        <is>
          <t>Yes</t>
        </is>
      </c>
      <c r="O327" s="8" t="n"/>
      <c r="P327" s="8" t="n"/>
    </row>
    <row r="328">
      <c r="A328" s="8" t="inlineStr">
        <is>
          <t>CILP_0327</t>
        </is>
      </c>
      <c r="B328" s="8" t="inlineStr">
        <is>
          <t>Retinitis Pigmentosa</t>
        </is>
      </c>
      <c r="C328" s="8" t="inlineStr">
        <is>
          <t>RP72</t>
        </is>
      </c>
      <c r="D328" s="8" t="inlineStr">
        <is>
          <t>616469</t>
        </is>
      </c>
      <c r="E328" s="8" t="inlineStr">
        <is>
          <t>OMIM:616469</t>
        </is>
      </c>
      <c r="F328" s="8" t="inlineStr">
        <is>
          <t>OMIM phenotype entry</t>
        </is>
      </c>
      <c r="G328" s="8" t="inlineStr">
        <is>
          <t>Secondary</t>
        </is>
      </c>
      <c r="H328" s="8" t="inlineStr">
        <is>
          <t>Retinal ciliopathy</t>
        </is>
      </c>
      <c r="I328" s="8" t="inlineStr">
        <is>
          <t>ZNF408</t>
        </is>
      </c>
      <c r="J328" s="8" t="inlineStr">
        <is>
          <t>AR</t>
        </is>
      </c>
      <c r="K328" s="8" t="inlineStr">
        <is>
          <t>Eyes; Cardiovascular; Nervous system</t>
        </is>
      </c>
      <c r="L328" s="8" t="n">
        <v>11</v>
      </c>
      <c r="M328" s="8" t="inlineStr">
        <is>
          <t>HP:0001133; HP:0007737; HP:0000662; HP:0011003; HP:0500087; HP:0000613; HP:0007663; HP:0000543; HP:0007787; HP:0000510; HP:0007843</t>
        </is>
      </c>
      <c r="N328" s="8" t="inlineStr">
        <is>
          <t>Yes</t>
        </is>
      </c>
      <c r="O328" s="8" t="n"/>
      <c r="P328" s="8" t="n"/>
    </row>
    <row r="329">
      <c r="A329" s="8" t="inlineStr">
        <is>
          <t>CILP_0328</t>
        </is>
      </c>
      <c r="B329" s="8" t="inlineStr">
        <is>
          <t>Retinitis Pigmentosa</t>
        </is>
      </c>
      <c r="C329" s="8" t="inlineStr">
        <is>
          <t>RP73</t>
        </is>
      </c>
      <c r="D329" s="8" t="inlineStr">
        <is>
          <t>616544</t>
        </is>
      </c>
      <c r="E329" s="8" t="inlineStr">
        <is>
          <t>OMIM:616544</t>
        </is>
      </c>
      <c r="F329" s="8" t="inlineStr">
        <is>
          <t>OMIM phenotype entry</t>
        </is>
      </c>
      <c r="G329" s="8" t="inlineStr">
        <is>
          <t>Secondary</t>
        </is>
      </c>
      <c r="H329" s="8" t="inlineStr">
        <is>
          <t>Retinal ciliopathy</t>
        </is>
      </c>
      <c r="I329" s="8" t="inlineStr">
        <is>
          <t>HGSNAT</t>
        </is>
      </c>
      <c r="J329" s="8" t="inlineStr">
        <is>
          <t>AR</t>
        </is>
      </c>
      <c r="K329" s="8" t="inlineStr">
        <is>
          <t>Eyes</t>
        </is>
      </c>
      <c r="L329" s="8" t="n">
        <v>17</v>
      </c>
      <c r="M329" s="8" t="inlineStr">
        <is>
          <t>HP:0001133; HP:0007737; HP:0030501; HP:0000662; HP:0030786; HP:0000551; HP:0001123; HP:0031609; HP:0030529; HP:0100014; HP:0500087; HP:0007663; HP:0000603; HP:0000543; HP:0000510; HP:0000622; HP:0001105</t>
        </is>
      </c>
      <c r="N329" s="8" t="inlineStr">
        <is>
          <t>Yes</t>
        </is>
      </c>
      <c r="O329" s="8" t="n"/>
      <c r="P329" s="8" t="n"/>
    </row>
    <row r="330">
      <c r="A330" s="8" t="inlineStr">
        <is>
          <t>CILP_0329</t>
        </is>
      </c>
      <c r="B330" s="8" t="inlineStr">
        <is>
          <t>Retinitis Pigmentosa</t>
        </is>
      </c>
      <c r="C330" s="8" t="inlineStr">
        <is>
          <t>RP74</t>
        </is>
      </c>
      <c r="D330" s="8" t="inlineStr">
        <is>
          <t>616562</t>
        </is>
      </c>
      <c r="E330" s="8" t="inlineStr">
        <is>
          <t>OMIM:616562</t>
        </is>
      </c>
      <c r="F330" s="8" t="inlineStr">
        <is>
          <t>OMIM phenotype entry</t>
        </is>
      </c>
      <c r="G330" s="8" t="inlineStr">
        <is>
          <t>Secondary</t>
        </is>
      </c>
      <c r="H330" s="8" t="inlineStr">
        <is>
          <t>Retinal ciliopathy</t>
        </is>
      </c>
      <c r="I330" s="8" t="inlineStr">
        <is>
          <t>BBS2</t>
        </is>
      </c>
      <c r="J330" s="8" t="inlineStr">
        <is>
          <t>AR</t>
        </is>
      </c>
      <c r="K330" s="8" t="inlineStr">
        <is>
          <t>Eyes; Growth; Genitourinary; Limbs; Skeletal</t>
        </is>
      </c>
      <c r="L330" s="8" t="n">
        <v>9</v>
      </c>
      <c r="M330" s="8" t="inlineStr">
        <is>
          <t>HP:0001133; HP:0000580; HP:0010442; HP:0012210; HP:0007663; HP:0000543; HP:0001115; HP:0000510; HP:0001513</t>
        </is>
      </c>
      <c r="N330" s="8" t="inlineStr">
        <is>
          <t>Yes</t>
        </is>
      </c>
      <c r="O330" s="8" t="n"/>
      <c r="P330" s="8" t="n"/>
    </row>
    <row r="331">
      <c r="A331" s="8" t="inlineStr">
        <is>
          <t>CILP_0330</t>
        </is>
      </c>
      <c r="B331" s="8" t="inlineStr">
        <is>
          <t>Retinitis Pigmentosa</t>
        </is>
      </c>
      <c r="C331" s="8" t="inlineStr">
        <is>
          <t>RP75</t>
        </is>
      </c>
      <c r="D331" s="8" t="inlineStr">
        <is>
          <t>617023</t>
        </is>
      </c>
      <c r="E331" s="8" t="inlineStr">
        <is>
          <t>OMIM:617023</t>
        </is>
      </c>
      <c r="F331" s="8" t="inlineStr">
        <is>
          <t>OMIM phenotype entry</t>
        </is>
      </c>
      <c r="G331" s="8" t="inlineStr">
        <is>
          <t>Secondary</t>
        </is>
      </c>
      <c r="H331" s="8" t="inlineStr">
        <is>
          <t>Retinal ciliopathy</t>
        </is>
      </c>
      <c r="I331" s="8" t="inlineStr">
        <is>
          <t>AGBL5</t>
        </is>
      </c>
      <c r="J331" s="8" t="inlineStr">
        <is>
          <t>AR</t>
        </is>
      </c>
      <c r="K331" s="8" t="inlineStr">
        <is>
          <t>Eyes; Cardiovascular; Skin</t>
        </is>
      </c>
      <c r="L331" s="8" t="n">
        <v>8</v>
      </c>
      <c r="M331" s="8" t="inlineStr">
        <is>
          <t>HP:0007737; HP:0000662; HP:0000980; HP:0031790; HP:0007994; HP:0000510; HP:0007843; HP:0000545</t>
        </is>
      </c>
      <c r="N331" s="8" t="inlineStr">
        <is>
          <t>Yes</t>
        </is>
      </c>
      <c r="O331" s="8" t="n"/>
      <c r="P331" s="8" t="n"/>
    </row>
    <row r="332">
      <c r="A332" s="8" t="inlineStr">
        <is>
          <t>CILP_0331</t>
        </is>
      </c>
      <c r="B332" s="8" t="inlineStr">
        <is>
          <t>Retinitis Pigmentosa</t>
        </is>
      </c>
      <c r="C332" s="8" t="inlineStr">
        <is>
          <t>RP76</t>
        </is>
      </c>
      <c r="D332" s="8" t="inlineStr">
        <is>
          <t>617123</t>
        </is>
      </c>
      <c r="E332" s="8" t="inlineStr">
        <is>
          <t>OMIM:617123</t>
        </is>
      </c>
      <c r="F332" s="8" t="inlineStr">
        <is>
          <t>OMIM phenotype entry</t>
        </is>
      </c>
      <c r="G332" s="8" t="inlineStr">
        <is>
          <t>Secondary</t>
        </is>
      </c>
      <c r="H332" s="8" t="inlineStr">
        <is>
          <t>Retinal ciliopathy</t>
        </is>
      </c>
      <c r="I332" s="8" t="inlineStr">
        <is>
          <t>POMGNT1</t>
        </is>
      </c>
      <c r="J332" s="8" t="inlineStr">
        <is>
          <t>AR</t>
        </is>
      </c>
      <c r="K332" s="8" t="inlineStr">
        <is>
          <t>Eyes</t>
        </is>
      </c>
      <c r="L332" s="8" t="n">
        <v>9</v>
      </c>
      <c r="M332" s="8" t="inlineStr">
        <is>
          <t>HP:0001133; HP:0007737; HP:0000662; HP:0500087; HP:0030631; HP:0007663; HP:0011505; HP:0030329; HP:6001439</t>
        </is>
      </c>
      <c r="N332" s="8" t="inlineStr">
        <is>
          <t>Yes</t>
        </is>
      </c>
      <c r="O332" s="8" t="n"/>
      <c r="P332" s="8" t="n"/>
    </row>
    <row r="333">
      <c r="A333" s="8" t="inlineStr">
        <is>
          <t>CILP_0332</t>
        </is>
      </c>
      <c r="B333" s="8" t="inlineStr">
        <is>
          <t>Retinitis Pigmentosa</t>
        </is>
      </c>
      <c r="C333" s="8" t="inlineStr">
        <is>
          <t>RP77</t>
        </is>
      </c>
      <c r="D333" s="8" t="inlineStr">
        <is>
          <t>617304</t>
        </is>
      </c>
      <c r="E333" s="8" t="inlineStr">
        <is>
          <t>OMIM:617304</t>
        </is>
      </c>
      <c r="F333" s="8" t="inlineStr">
        <is>
          <t>OMIM phenotype entry</t>
        </is>
      </c>
      <c r="G333" s="8" t="inlineStr">
        <is>
          <t>Secondary</t>
        </is>
      </c>
      <c r="H333" s="8" t="inlineStr">
        <is>
          <t>Retinal ciliopathy</t>
        </is>
      </c>
      <c r="I333" s="8" t="inlineStr">
        <is>
          <t>REEP6</t>
        </is>
      </c>
      <c r="J333" s="8" t="inlineStr">
        <is>
          <t>AR</t>
        </is>
      </c>
      <c r="K333" s="8" t="inlineStr">
        <is>
          <t>Eyes; Cardiovascular</t>
        </is>
      </c>
      <c r="L333" s="8" t="n">
        <v>9</v>
      </c>
      <c r="M333" s="8" t="inlineStr">
        <is>
          <t>HP:0001133; HP:0007737; HP:0000662; HP:0011505; HP:0007663; HP:0007787; HP:0000510; HP:0007843; HP:0001105</t>
        </is>
      </c>
      <c r="N333" s="8" t="inlineStr">
        <is>
          <t>Yes</t>
        </is>
      </c>
      <c r="O333" s="8" t="n"/>
      <c r="P333" s="8" t="n"/>
    </row>
    <row r="334">
      <c r="A334" s="8" t="inlineStr">
        <is>
          <t>CILP_0333</t>
        </is>
      </c>
      <c r="B334" s="8" t="inlineStr">
        <is>
          <t>Retinitis Pigmentosa</t>
        </is>
      </c>
      <c r="C334" s="8" t="inlineStr">
        <is>
          <t>RP78</t>
        </is>
      </c>
      <c r="D334" s="8" t="inlineStr">
        <is>
          <t>617433</t>
        </is>
      </c>
      <c r="E334" s="8" t="inlineStr">
        <is>
          <t>OMIM:617433</t>
        </is>
      </c>
      <c r="F334" s="8" t="inlineStr">
        <is>
          <t>OMIM phenotype entry</t>
        </is>
      </c>
      <c r="G334" s="8" t="inlineStr">
        <is>
          <t>Secondary</t>
        </is>
      </c>
      <c r="H334" s="8" t="inlineStr">
        <is>
          <t>Retinal ciliopathy</t>
        </is>
      </c>
      <c r="I334" s="8" t="inlineStr">
        <is>
          <t>ARHGEF18</t>
        </is>
      </c>
      <c r="J334" s="8" t="inlineStr">
        <is>
          <t>AR</t>
        </is>
      </c>
      <c r="K334" s="8" t="inlineStr">
        <is>
          <t>Eyes</t>
        </is>
      </c>
      <c r="L334" s="8" t="n">
        <v>6</v>
      </c>
      <c r="M334" s="8" t="inlineStr">
        <is>
          <t>HP:0000662; HP:0030786; HP:0001123; HP:0007663; HP:0011505; HP:0000543</t>
        </is>
      </c>
      <c r="N334" s="8" t="inlineStr">
        <is>
          <t>Yes</t>
        </is>
      </c>
      <c r="O334" s="8" t="n"/>
      <c r="P334" s="8" t="n"/>
    </row>
    <row r="335">
      <c r="A335" s="8" t="inlineStr">
        <is>
          <t>CILP_0334</t>
        </is>
      </c>
      <c r="B335" s="8" t="inlineStr">
        <is>
          <t>Retinitis Pigmentosa</t>
        </is>
      </c>
      <c r="C335" s="8" t="inlineStr">
        <is>
          <t>RP79</t>
        </is>
      </c>
      <c r="D335" s="8" t="inlineStr">
        <is>
          <t>617460</t>
        </is>
      </c>
      <c r="E335" s="8" t="inlineStr">
        <is>
          <t>OMIM:617460</t>
        </is>
      </c>
      <c r="F335" s="8" t="inlineStr">
        <is>
          <t>OMIM phenotype entry</t>
        </is>
      </c>
      <c r="G335" s="8" t="inlineStr">
        <is>
          <t>Secondary</t>
        </is>
      </c>
      <c r="H335" s="8" t="inlineStr">
        <is>
          <t>Retinal ciliopathy</t>
        </is>
      </c>
      <c r="I335" s="8" t="inlineStr">
        <is>
          <t>HK1</t>
        </is>
      </c>
      <c r="J335" s="8" t="inlineStr">
        <is>
          <t>AD</t>
        </is>
      </c>
      <c r="K335" s="8" t="inlineStr">
        <is>
          <t>Eyes; Cardiovascular; Nervous system</t>
        </is>
      </c>
      <c r="L335" s="8" t="n">
        <v>8</v>
      </c>
      <c r="M335" s="8" t="inlineStr">
        <is>
          <t>HP:0001133; HP:0007737; HP:0000662; HP:0000613; HP:0007663; HP:0007401; HP:0000543; HP:0007843</t>
        </is>
      </c>
      <c r="N335" s="8" t="inlineStr">
        <is>
          <t>Yes</t>
        </is>
      </c>
      <c r="O335" s="8" t="n"/>
      <c r="P335" s="8" t="n"/>
    </row>
    <row r="336">
      <c r="A336" s="8" t="inlineStr">
        <is>
          <t>CILP_0335</t>
        </is>
      </c>
      <c r="B336" s="8" t="inlineStr">
        <is>
          <t>Retinitis Pigmentosa</t>
        </is>
      </c>
      <c r="C336" s="8" t="inlineStr">
        <is>
          <t>RP80</t>
        </is>
      </c>
      <c r="D336" s="8" t="inlineStr">
        <is>
          <t>617781</t>
        </is>
      </c>
      <c r="E336" s="8" t="inlineStr">
        <is>
          <t>OMIM:617781</t>
        </is>
      </c>
      <c r="F336" s="8" t="inlineStr">
        <is>
          <t>OMIM phenotype entry</t>
        </is>
      </c>
      <c r="G336" s="8" t="inlineStr">
        <is>
          <t>Secondary</t>
        </is>
      </c>
      <c r="H336" s="8" t="inlineStr">
        <is>
          <t>Retinal ciliopathy</t>
        </is>
      </c>
      <c r="I336" s="8" t="inlineStr">
        <is>
          <t>IFT140</t>
        </is>
      </c>
      <c r="J336" s="8" t="inlineStr">
        <is>
          <t>AR</t>
        </is>
      </c>
      <c r="K336" s="8" t="inlineStr">
        <is>
          <t>Eyes; Cardiovascular; Limbs; Nervous system; Skeletal</t>
        </is>
      </c>
      <c r="L336" s="8" t="n">
        <v>8</v>
      </c>
      <c r="M336" s="8" t="inlineStr">
        <is>
          <t>HP:0007737; HP:0000662; HP:0000529; HP:0001263; HP:0010230; HP:0000618; HP:0007401; HP:0007843</t>
        </is>
      </c>
      <c r="N336" s="8" t="inlineStr">
        <is>
          <t>Yes</t>
        </is>
      </c>
      <c r="O336" s="8" t="n"/>
      <c r="P336" s="8" t="n"/>
    </row>
    <row r="337">
      <c r="A337" s="8" t="inlineStr">
        <is>
          <t>CILP_0336</t>
        </is>
      </c>
      <c r="B337" s="8" t="inlineStr">
        <is>
          <t>Retinitis Pigmentosa</t>
        </is>
      </c>
      <c r="C337" s="8" t="inlineStr">
        <is>
          <t>RP81</t>
        </is>
      </c>
      <c r="D337" s="8" t="inlineStr">
        <is>
          <t>617871</t>
        </is>
      </c>
      <c r="E337" s="8" t="inlineStr">
        <is>
          <t>OMIM:617871</t>
        </is>
      </c>
      <c r="F337" s="8" t="inlineStr">
        <is>
          <t>OMIM phenotype entry</t>
        </is>
      </c>
      <c r="G337" s="8" t="inlineStr">
        <is>
          <t>Secondary</t>
        </is>
      </c>
      <c r="H337" s="8" t="inlineStr">
        <is>
          <t>Retinal ciliopathy</t>
        </is>
      </c>
      <c r="I337" s="8" t="inlineStr">
        <is>
          <t>IFT43</t>
        </is>
      </c>
      <c r="J337" s="8" t="inlineStr">
        <is>
          <t>AR</t>
        </is>
      </c>
      <c r="K337" s="8" t="inlineStr">
        <is>
          <t>Eyes; Cardiovascular</t>
        </is>
      </c>
      <c r="L337" s="8" t="n">
        <v>6</v>
      </c>
      <c r="M337" s="8" t="inlineStr">
        <is>
          <t>HP:0007737; HP:0000662; HP:0007663; HP:0000543; HP:0007843; HP:0007722</t>
        </is>
      </c>
      <c r="N337" s="8" t="inlineStr">
        <is>
          <t>Yes</t>
        </is>
      </c>
      <c r="O337" s="8" t="n"/>
      <c r="P337" s="8" t="n"/>
    </row>
    <row r="338">
      <c r="A338" s="8" t="inlineStr">
        <is>
          <t>CILP_0337</t>
        </is>
      </c>
      <c r="B338" s="8" t="inlineStr">
        <is>
          <t>Retinitis Pigmentosa</t>
        </is>
      </c>
      <c r="C338" s="8" t="inlineStr">
        <is>
          <t>RP83</t>
        </is>
      </c>
      <c r="D338" s="8" t="inlineStr">
        <is>
          <t>618173</t>
        </is>
      </c>
      <c r="E338" s="8" t="inlineStr">
        <is>
          <t>OMIM:618173</t>
        </is>
      </c>
      <c r="F338" s="8" t="inlineStr">
        <is>
          <t>OMIM phenotype entry</t>
        </is>
      </c>
      <c r="G338" s="8" t="inlineStr">
        <is>
          <t>Secondary</t>
        </is>
      </c>
      <c r="H338" s="8" t="inlineStr">
        <is>
          <t>Retinal ciliopathy</t>
        </is>
      </c>
      <c r="I338" s="8" t="inlineStr">
        <is>
          <t>ARL3</t>
        </is>
      </c>
      <c r="J338" s="8" t="inlineStr">
        <is>
          <t>AD</t>
        </is>
      </c>
      <c r="K338" s="8" t="inlineStr">
        <is>
          <t>Eyes; Cardiovascular</t>
        </is>
      </c>
      <c r="L338" s="8" t="n">
        <v>10</v>
      </c>
      <c r="M338" s="8" t="inlineStr">
        <is>
          <t>HP:0001133; HP:0100832; HP:0007737; HP:0000662; HP:0030672; HP:0007663; HP:0011505; HP:0000510; HP:0007787; HP:0007843</t>
        </is>
      </c>
      <c r="N338" s="8" t="inlineStr">
        <is>
          <t>Yes</t>
        </is>
      </c>
      <c r="O338" s="8" t="n"/>
      <c r="P338" s="8" t="n"/>
    </row>
    <row r="339">
      <c r="A339" s="8" t="inlineStr">
        <is>
          <t>CILP_0338</t>
        </is>
      </c>
      <c r="B339" s="8" t="inlineStr">
        <is>
          <t>Retinitis Pigmentosa</t>
        </is>
      </c>
      <c r="C339" s="8" t="inlineStr">
        <is>
          <t>RP84</t>
        </is>
      </c>
      <c r="D339" s="8" t="inlineStr">
        <is>
          <t>618220</t>
        </is>
      </c>
      <c r="E339" s="8" t="inlineStr">
        <is>
          <t>OMIM:618220</t>
        </is>
      </c>
      <c r="F339" s="8" t="inlineStr">
        <is>
          <t>OMIM phenotype entry</t>
        </is>
      </c>
      <c r="G339" s="8" t="inlineStr">
        <is>
          <t>Secondary</t>
        </is>
      </c>
      <c r="H339" s="8" t="inlineStr">
        <is>
          <t>Retinal ciliopathy</t>
        </is>
      </c>
      <c r="I339" s="8" t="inlineStr">
        <is>
          <t>DHX38</t>
        </is>
      </c>
      <c r="J339" s="8" t="inlineStr">
        <is>
          <t>AR</t>
        </is>
      </c>
      <c r="K339" s="8" t="inlineStr">
        <is>
          <t>Eyes; Cardiovascular</t>
        </is>
      </c>
      <c r="L339" s="8" t="n">
        <v>8</v>
      </c>
      <c r="M339" s="8" t="inlineStr">
        <is>
          <t>HP:0007737; HP:0000662; HP:0000518; HP:0030553; HP:0007401; HP:0000510; HP:0007843; HP:0001116</t>
        </is>
      </c>
      <c r="N339" s="8" t="inlineStr">
        <is>
          <t>Yes</t>
        </is>
      </c>
      <c r="O339" s="8" t="n"/>
      <c r="P339" s="8" t="n"/>
    </row>
    <row r="340">
      <c r="A340" s="8" t="inlineStr">
        <is>
          <t>CILP_0339</t>
        </is>
      </c>
      <c r="B340" s="8" t="inlineStr">
        <is>
          <t>Retinitis Pigmentosa</t>
        </is>
      </c>
      <c r="C340" s="8" t="inlineStr">
        <is>
          <t>RP85</t>
        </is>
      </c>
      <c r="D340" s="8" t="inlineStr">
        <is>
          <t>618345</t>
        </is>
      </c>
      <c r="E340" s="8" t="inlineStr">
        <is>
          <t>OMIM:618345</t>
        </is>
      </c>
      <c r="F340" s="8" t="inlineStr">
        <is>
          <t>OMIM phenotype entry</t>
        </is>
      </c>
      <c r="G340" s="8" t="inlineStr">
        <is>
          <t>Secondary</t>
        </is>
      </c>
      <c r="H340" s="8" t="inlineStr">
        <is>
          <t>Retinal ciliopathy</t>
        </is>
      </c>
      <c r="I340" s="8" t="inlineStr">
        <is>
          <t>AHR</t>
        </is>
      </c>
      <c r="J340" s="8" t="inlineStr">
        <is>
          <t>AR</t>
        </is>
      </c>
      <c r="K340" s="8" t="inlineStr">
        <is>
          <t>Eyes</t>
        </is>
      </c>
      <c r="L340" s="8" t="n">
        <v>3</v>
      </c>
      <c r="M340" s="8" t="inlineStr">
        <is>
          <t>HP:0007663; HP:0007675; HP:0000510</t>
        </is>
      </c>
      <c r="N340" s="8" t="inlineStr">
        <is>
          <t>Yes</t>
        </is>
      </c>
      <c r="O340" s="8" t="n"/>
      <c r="P340" s="8" t="n"/>
    </row>
    <row r="341">
      <c r="A341" s="8" t="inlineStr">
        <is>
          <t>CILP_0340</t>
        </is>
      </c>
      <c r="B341" s="8" t="inlineStr">
        <is>
          <t>Retinitis Pigmentosa</t>
        </is>
      </c>
      <c r="C341" s="8" t="inlineStr">
        <is>
          <t>RP86</t>
        </is>
      </c>
      <c r="D341" s="8" t="inlineStr">
        <is>
          <t>618613</t>
        </is>
      </c>
      <c r="E341" s="8" t="inlineStr">
        <is>
          <t>OMIM:618613</t>
        </is>
      </c>
      <c r="F341" s="8" t="inlineStr">
        <is>
          <t>OMIM phenotype entry</t>
        </is>
      </c>
      <c r="G341" s="8" t="inlineStr">
        <is>
          <t>Secondary</t>
        </is>
      </c>
      <c r="H341" s="8" t="inlineStr">
        <is>
          <t>Retinal ciliopathy</t>
        </is>
      </c>
      <c r="I341" s="8" t="inlineStr">
        <is>
          <t>KIAA1549</t>
        </is>
      </c>
      <c r="J341" s="8" t="inlineStr">
        <is>
          <t>AR</t>
        </is>
      </c>
      <c r="K341" s="8" t="inlineStr">
        <is>
          <t>Eyes; Cardiovascular</t>
        </is>
      </c>
      <c r="L341" s="8" t="n">
        <v>10</v>
      </c>
      <c r="M341" s="8" t="inlineStr">
        <is>
          <t>HP:0007737; HP:0000662; HP:0000529; HP:0025158; HP:0100019; HP:0000543; HP:0011505; HP:0007843; HP:0007722; HP:0030505</t>
        </is>
      </c>
      <c r="N341" s="8" t="inlineStr">
        <is>
          <t>Yes</t>
        </is>
      </c>
      <c r="O341" s="8" t="n"/>
      <c r="P341" s="8" t="n"/>
    </row>
    <row r="342">
      <c r="A342" s="8" t="inlineStr">
        <is>
          <t>CILP_0341</t>
        </is>
      </c>
      <c r="B342" s="8" t="inlineStr">
        <is>
          <t>Retinitis Pigmentosa</t>
        </is>
      </c>
      <c r="C342" s="8" t="inlineStr">
        <is>
          <t>RP87</t>
        </is>
      </c>
      <c r="D342" s="8" t="inlineStr">
        <is>
          <t>618697</t>
        </is>
      </c>
      <c r="E342" s="8" t="inlineStr">
        <is>
          <t>OMIM:618697</t>
        </is>
      </c>
      <c r="F342" s="8" t="inlineStr">
        <is>
          <t>OMIM phenotype entry</t>
        </is>
      </c>
      <c r="G342" s="8" t="inlineStr">
        <is>
          <t>Secondary</t>
        </is>
      </c>
      <c r="H342" s="8" t="inlineStr">
        <is>
          <t>Retinal ciliopathy</t>
        </is>
      </c>
      <c r="I342" s="8" t="inlineStr">
        <is>
          <t>RPE65</t>
        </is>
      </c>
      <c r="J342" s="8" t="inlineStr">
        <is>
          <t>AD</t>
        </is>
      </c>
      <c r="K342" s="8" t="inlineStr">
        <is>
          <t>Eyes</t>
        </is>
      </c>
      <c r="L342" s="8" t="n">
        <v>5</v>
      </c>
      <c r="M342" s="8" t="inlineStr">
        <is>
          <t>HP:0007737; HP:0000580; HP:0007994; HP:0030505; HP:0000533</t>
        </is>
      </c>
      <c r="N342" s="8" t="inlineStr">
        <is>
          <t>Yes</t>
        </is>
      </c>
      <c r="O342" s="8" t="n"/>
      <c r="P342" s="8" t="n"/>
    </row>
    <row r="343">
      <c r="A343" s="8" t="inlineStr">
        <is>
          <t>CILP_0342</t>
        </is>
      </c>
      <c r="B343" s="8" t="inlineStr">
        <is>
          <t>Retinitis Pigmentosa</t>
        </is>
      </c>
      <c r="C343" s="8" t="inlineStr">
        <is>
          <t>RP88</t>
        </is>
      </c>
      <c r="D343" s="8" t="inlineStr">
        <is>
          <t>618826</t>
        </is>
      </c>
      <c r="E343" s="8" t="inlineStr">
        <is>
          <t>OMIM:618826</t>
        </is>
      </c>
      <c r="F343" s="8" t="inlineStr">
        <is>
          <t>OMIM phenotype entry</t>
        </is>
      </c>
      <c r="G343" s="8" t="inlineStr">
        <is>
          <t>Secondary</t>
        </is>
      </c>
      <c r="H343" s="8" t="inlineStr">
        <is>
          <t>Retinal ciliopathy</t>
        </is>
      </c>
      <c r="I343" s="8" t="inlineStr">
        <is>
          <t>RP1L1</t>
        </is>
      </c>
      <c r="J343" s="8" t="inlineStr">
        <is>
          <t>AR</t>
        </is>
      </c>
      <c r="K343" s="8" t="inlineStr">
        <is>
          <t>Eyes; Cardiovascular</t>
        </is>
      </c>
      <c r="L343" s="8" t="n">
        <v>8</v>
      </c>
      <c r="M343" s="8" t="inlineStr">
        <is>
          <t>HP:0007737; HP:0000662; HP:0000608; HP:0007663; HP:0011505; HP:0000543; HP:0007843; HP:0000577</t>
        </is>
      </c>
      <c r="N343" s="8" t="inlineStr">
        <is>
          <t>Yes</t>
        </is>
      </c>
      <c r="O343" s="8" t="n"/>
      <c r="P343" s="8" t="n"/>
    </row>
    <row r="344">
      <c r="A344" s="8" t="inlineStr">
        <is>
          <t>CILP_0343</t>
        </is>
      </c>
      <c r="B344" s="8" t="inlineStr">
        <is>
          <t>Retinitis Pigmentosa</t>
        </is>
      </c>
      <c r="C344" s="8" t="inlineStr">
        <is>
          <t>RP89</t>
        </is>
      </c>
      <c r="D344" s="8" t="inlineStr">
        <is>
          <t>618955</t>
        </is>
      </c>
      <c r="E344" s="8" t="inlineStr">
        <is>
          <t>OMIM:618955</t>
        </is>
      </c>
      <c r="F344" s="8" t="inlineStr">
        <is>
          <t>OMIM phenotype entry</t>
        </is>
      </c>
      <c r="G344" s="8" t="inlineStr">
        <is>
          <t>Secondary</t>
        </is>
      </c>
      <c r="H344" s="8" t="inlineStr">
        <is>
          <t>Retinal ciliopathy</t>
        </is>
      </c>
      <c r="I344" s="8" t="inlineStr">
        <is>
          <t>KIF3B</t>
        </is>
      </c>
      <c r="J344" s="8" t="inlineStr">
        <is>
          <t>AD</t>
        </is>
      </c>
      <c r="K344" s="8" t="inlineStr">
        <is>
          <t>Abdomen; Eyes; Cardiovascular; Immune system; Limbs; Skeletal</t>
        </is>
      </c>
      <c r="L344" s="8" t="n">
        <v>13</v>
      </c>
      <c r="M344" s="8" t="inlineStr">
        <is>
          <t>HP:0001133; HP:0000662; HP:0025158; HP:0001395; HP:0030473; HP:0002040; HP:0033149; HP:0030329; HP:0100259; HP:0001647; HP:0000510; HP:0001433; HP:0001413</t>
        </is>
      </c>
      <c r="N344" s="8" t="inlineStr">
        <is>
          <t>Yes</t>
        </is>
      </c>
      <c r="O344" s="8" t="n"/>
      <c r="P344" s="8" t="n"/>
    </row>
    <row r="345">
      <c r="A345" s="8" t="inlineStr">
        <is>
          <t>CILP_0344</t>
        </is>
      </c>
      <c r="B345" s="8" t="inlineStr">
        <is>
          <t>Retinitis Pigmentosa</t>
        </is>
      </c>
      <c r="C345" s="8" t="inlineStr">
        <is>
          <t>RP90</t>
        </is>
      </c>
      <c r="D345" s="8" t="inlineStr">
        <is>
          <t>619007</t>
        </is>
      </c>
      <c r="E345" s="8" t="inlineStr">
        <is>
          <t>OMIM:619007</t>
        </is>
      </c>
      <c r="F345" s="8" t="inlineStr">
        <is>
          <t>OMIM phenotype entry</t>
        </is>
      </c>
      <c r="G345" s="8" t="inlineStr">
        <is>
          <t>Secondary</t>
        </is>
      </c>
      <c r="H345" s="8" t="inlineStr">
        <is>
          <t>Retinal ciliopathy</t>
        </is>
      </c>
      <c r="I345" s="8" t="inlineStr">
        <is>
          <t>IDH3A</t>
        </is>
      </c>
      <c r="J345" s="8" t="inlineStr">
        <is>
          <t>AR</t>
        </is>
      </c>
      <c r="K345" s="8" t="inlineStr">
        <is>
          <t>Eyes; Cardiovascular</t>
        </is>
      </c>
      <c r="L345" s="8" t="n">
        <v>9</v>
      </c>
      <c r="M345" s="8" t="inlineStr">
        <is>
          <t>HP:0001133; HP:0007737; HP:0000662; HP:0000486; HP:0025158; HP:0011505; HP:0007663; HP:0007843; HP:0007722</t>
        </is>
      </c>
      <c r="N345" s="8" t="inlineStr">
        <is>
          <t>Yes</t>
        </is>
      </c>
      <c r="O345" s="8" t="n"/>
      <c r="P345" s="8" t="n"/>
    </row>
    <row r="346">
      <c r="A346" s="8" t="inlineStr">
        <is>
          <t>CILP_0345</t>
        </is>
      </c>
      <c r="B346" s="8" t="inlineStr">
        <is>
          <t>Retinitis Pigmentosa</t>
        </is>
      </c>
      <c r="C346" s="8" t="inlineStr">
        <is>
          <t>RP</t>
        </is>
      </c>
      <c r="D346" s="8" t="n"/>
      <c r="E346" s="8" t="inlineStr">
        <is>
          <t>OMIM:268000; ORPHA:791</t>
        </is>
      </c>
      <c r="F346" s="8" t="inlineStr">
        <is>
          <t>Orphanet entry (matched by disease name)</t>
        </is>
      </c>
      <c r="G346" s="8" t="inlineStr">
        <is>
          <t>Secondary</t>
        </is>
      </c>
      <c r="H346" s="8" t="inlineStr">
        <is>
          <t>Retinal ciliopathy</t>
        </is>
      </c>
      <c r="I346" s="8" t="inlineStr">
        <is>
          <t>BBS1; CEP290; CEP83; CFAP20</t>
        </is>
      </c>
      <c r="J346" s="8" t="inlineStr">
        <is>
          <t>XLR; AR; AD</t>
        </is>
      </c>
      <c r="K346" s="8" t="inlineStr">
        <is>
          <t>Eyes; Ears; Cardiovascular; Endocrine; Nervous system; Metabolism</t>
        </is>
      </c>
      <c r="L346" s="8" t="n">
        <v>34</v>
      </c>
      <c r="M346" s="8" t="inlineStr">
        <is>
          <t>HP:0001133; HP:0000662; HP:0031605; HP:0000510; HP:0000405; HP:0000407; HP:0000505; HP:0000512; HP:0000546; HP:0000613; HP:0000618; HP:0000639; HP:0000648; HP:0007675; HP:0007703; HP:0007737; HP:0008046; HP:0000501; HP:0000543; HP:0000563; HP:0000602; HP:0000842; HP:0001105; HP:0007787; HP:0007843; HP:0007994; HP:0011505; HP:0012426; HP:0030466; HP:0030488; HP:0030610; HP:0000551; HP:0007663; HP:0030786</t>
        </is>
      </c>
      <c r="N346" s="8" t="inlineStr">
        <is>
          <t>Yes</t>
        </is>
      </c>
      <c r="O346" s="8" t="n"/>
      <c r="P346" s="8" t="n"/>
    </row>
    <row r="347">
      <c r="A347" s="8" t="inlineStr">
        <is>
          <t>CILP_0346</t>
        </is>
      </c>
      <c r="B347" s="8" t="inlineStr">
        <is>
          <t>STAR Syndrome</t>
        </is>
      </c>
      <c r="C347" s="8" t="inlineStr">
        <is>
          <t>STAR</t>
        </is>
      </c>
      <c r="D347" s="8" t="inlineStr">
        <is>
          <t>300707</t>
        </is>
      </c>
      <c r="E347" s="8" t="inlineStr">
        <is>
          <t>OMIM:300707</t>
        </is>
      </c>
      <c r="F347" s="8" t="inlineStr">
        <is>
          <t>OMIM phenotype entry</t>
        </is>
      </c>
      <c r="G347" s="8" t="inlineStr">
        <is>
          <t>Primary</t>
        </is>
      </c>
      <c r="H347" s="8" t="inlineStr">
        <is>
          <t>Atypical / secondary ciliopathy</t>
        </is>
      </c>
      <c r="I347" s="8" t="inlineStr">
        <is>
          <t>CCNQ</t>
        </is>
      </c>
      <c r="J347" s="8" t="inlineStr">
        <is>
          <t>XLD</t>
        </is>
      </c>
      <c r="K347" s="8" t="inlineStr">
        <is>
          <t>Abdomen; Eyes; Ears; Cardiovascular; Growth; Genitourinary; Head and neck; Limbs; Nervous system; Respiratory; Skeletal; Skin</t>
        </is>
      </c>
      <c r="L347" s="8" t="n">
        <v>41</v>
      </c>
      <c r="M347" s="8" t="inlineStr">
        <is>
          <t>HP:0000066; HP:0000143; HP:0001770; HP:0002023; HP:0004322; HP:0003298; HP:0000460; HP:0001153; HP:0001647; HP:0000954; HP:0000337; HP:0000813; HP:0000219; HP:0000455; HP:0004736; HP:0009921; HP:0010716; HP:0001363; HP:0000076; HP:0001382; HP:0000072; HP:0005343; HP:0000394; HP:0004692; HP:0011003; HP:0005280; HP:0034350; HP:0001518; HP:0000506; HP:0004969; HP:0004209; HP:0008665; HP:0009779; HP:0001511; HP:0000125; HP:0001631; HP:0000369; HP:0001776; HP:0000126; HP:0001655; HP:0000445</t>
        </is>
      </c>
      <c r="N347" s="8" t="inlineStr">
        <is>
          <t>No</t>
        </is>
      </c>
      <c r="O347" s="8" t="inlineStr">
        <is>
          <t>Disease family with fewer than 5 entries</t>
        </is>
      </c>
      <c r="P347" s="8" t="n"/>
    </row>
    <row r="348">
      <c r="A348" s="8" t="inlineStr">
        <is>
          <t>CILP_0347</t>
        </is>
      </c>
      <c r="B348" s="8" t="inlineStr">
        <is>
          <t>Senior-Løken Syndrome</t>
        </is>
      </c>
      <c r="C348" s="8" t="inlineStr">
        <is>
          <t>SLSN1</t>
        </is>
      </c>
      <c r="D348" s="8" t="inlineStr">
        <is>
          <t>266900</t>
        </is>
      </c>
      <c r="E348" s="8" t="inlineStr">
        <is>
          <t>OMIM:266900</t>
        </is>
      </c>
      <c r="F348" s="8" t="inlineStr">
        <is>
          <t>OMIM phenotype entry</t>
        </is>
      </c>
      <c r="G348" s="8" t="inlineStr">
        <is>
          <t>Primary</t>
        </is>
      </c>
      <c r="H348" s="8" t="inlineStr">
        <is>
          <t>Renal-hepatic ciliopathy</t>
        </is>
      </c>
      <c r="I348" s="8" t="inlineStr">
        <is>
          <t>NPHP1</t>
        </is>
      </c>
      <c r="J348" s="8" t="inlineStr">
        <is>
          <t>AR</t>
        </is>
      </c>
      <c r="K348" s="8" t="inlineStr">
        <is>
          <t>Eyes; Genitourinary; Nervous system; Metabolism</t>
        </is>
      </c>
      <c r="L348" s="8" t="n">
        <v>12</v>
      </c>
      <c r="M348" s="8" t="inlineStr">
        <is>
          <t>HP:0003774; HP:0005576; HP:0000083; HP:0020132; HP:0000090; HP:0001959; HP:0001903; HP:0004727; HP:0000103; HP:0003259; HP:0001249; HP:0000556</t>
        </is>
      </c>
      <c r="N348" s="8" t="inlineStr">
        <is>
          <t>Yes</t>
        </is>
      </c>
      <c r="O348" s="8" t="n"/>
      <c r="P348" s="8" t="n"/>
    </row>
    <row r="349">
      <c r="A349" s="8" t="inlineStr">
        <is>
          <t>CILP_0348</t>
        </is>
      </c>
      <c r="B349" s="8" t="inlineStr">
        <is>
          <t>Senior-Løken Syndrome</t>
        </is>
      </c>
      <c r="C349" s="8" t="inlineStr">
        <is>
          <t>SLSN4</t>
        </is>
      </c>
      <c r="D349" s="8" t="inlineStr">
        <is>
          <t>606996</t>
        </is>
      </c>
      <c r="E349" s="8" t="inlineStr">
        <is>
          <t>OMIM:606996</t>
        </is>
      </c>
      <c r="F349" s="8" t="inlineStr">
        <is>
          <t>OMIM phenotype entry</t>
        </is>
      </c>
      <c r="G349" s="8" t="inlineStr">
        <is>
          <t>Primary</t>
        </is>
      </c>
      <c r="H349" s="8" t="inlineStr">
        <is>
          <t>Renal-hepatic ciliopathy</t>
        </is>
      </c>
      <c r="I349" s="8" t="inlineStr">
        <is>
          <t>NPHP4</t>
        </is>
      </c>
      <c r="J349" s="8" t="inlineStr">
        <is>
          <t>AR</t>
        </is>
      </c>
      <c r="K349" s="8" t="inlineStr">
        <is>
          <t>Eyes; Genitourinary; Nervous system</t>
        </is>
      </c>
      <c r="L349" s="8" t="n">
        <v>9</v>
      </c>
      <c r="M349" s="8" t="inlineStr">
        <is>
          <t>HP:0003774; HP:0001583; HP:0001959; HP:0001903; HP:0001141; HP:0000646; HP:0000090; HP:0000103; HP:0000510</t>
        </is>
      </c>
      <c r="N349" s="8" t="inlineStr">
        <is>
          <t>Yes</t>
        </is>
      </c>
      <c r="O349" s="8" t="n"/>
      <c r="P349" s="8" t="n"/>
    </row>
    <row r="350">
      <c r="A350" s="8" t="inlineStr">
        <is>
          <t>CILP_0349</t>
        </is>
      </c>
      <c r="B350" s="8" t="inlineStr">
        <is>
          <t>Senior-Løken Syndrome</t>
        </is>
      </c>
      <c r="C350" s="8" t="inlineStr">
        <is>
          <t>SLSN5</t>
        </is>
      </c>
      <c r="D350" s="8" t="inlineStr">
        <is>
          <t>609254</t>
        </is>
      </c>
      <c r="E350" s="8" t="inlineStr">
        <is>
          <t>OMIM:609254</t>
        </is>
      </c>
      <c r="F350" s="8" t="inlineStr">
        <is>
          <t>OMIM phenotype entry</t>
        </is>
      </c>
      <c r="G350" s="8" t="inlineStr">
        <is>
          <t>Primary</t>
        </is>
      </c>
      <c r="H350" s="8" t="inlineStr">
        <is>
          <t>Renal-hepatic ciliopathy</t>
        </is>
      </c>
      <c r="I350" s="8" t="inlineStr">
        <is>
          <t>IQCB1</t>
        </is>
      </c>
      <c r="J350" s="8" t="inlineStr">
        <is>
          <t>AR</t>
        </is>
      </c>
      <c r="K350" s="8" t="inlineStr">
        <is>
          <t>Eyes; Genitourinary</t>
        </is>
      </c>
      <c r="L350" s="8" t="n">
        <v>3</v>
      </c>
      <c r="M350" s="8" t="inlineStr">
        <is>
          <t>HP:0003774; HP:0000090; HP:0000510</t>
        </is>
      </c>
      <c r="N350" s="8" t="inlineStr">
        <is>
          <t>Yes</t>
        </is>
      </c>
      <c r="O350" s="8" t="n"/>
      <c r="P350" s="8" t="n"/>
    </row>
    <row r="351">
      <c r="A351" s="8" t="inlineStr">
        <is>
          <t>CILP_0350</t>
        </is>
      </c>
      <c r="B351" s="8" t="inlineStr">
        <is>
          <t>Senior-Løken Syndrome</t>
        </is>
      </c>
      <c r="C351" s="8" t="inlineStr">
        <is>
          <t>SLSN6</t>
        </is>
      </c>
      <c r="D351" s="8" t="inlineStr">
        <is>
          <t>610189</t>
        </is>
      </c>
      <c r="E351" s="8" t="inlineStr">
        <is>
          <t>OMIM:610189</t>
        </is>
      </c>
      <c r="F351" s="8" t="inlineStr">
        <is>
          <t>OMIM phenotype entry</t>
        </is>
      </c>
      <c r="G351" s="8" t="inlineStr">
        <is>
          <t>Primary</t>
        </is>
      </c>
      <c r="H351" s="8" t="inlineStr">
        <is>
          <t>Renal-hepatic ciliopathy</t>
        </is>
      </c>
      <c r="I351" s="8" t="inlineStr">
        <is>
          <t>CEP290</t>
        </is>
      </c>
      <c r="J351" s="8" t="inlineStr">
        <is>
          <t>AR</t>
        </is>
      </c>
      <c r="K351" s="8" t="inlineStr">
        <is>
          <t>Eyes; Genitourinary; Nervous system</t>
        </is>
      </c>
      <c r="L351" s="8" t="n">
        <v>5</v>
      </c>
      <c r="M351" s="8" t="inlineStr">
        <is>
          <t>HP:0003774; HP:0006817; HP:0007663; HP:0000505; HP:0000510</t>
        </is>
      </c>
      <c r="N351" s="8" t="inlineStr">
        <is>
          <t>Yes</t>
        </is>
      </c>
      <c r="O351" s="8" t="n"/>
      <c r="P351" s="8" t="n"/>
    </row>
    <row r="352">
      <c r="A352" s="8" t="inlineStr">
        <is>
          <t>CILP_0351</t>
        </is>
      </c>
      <c r="B352" s="8" t="inlineStr">
        <is>
          <t>Senior-Løken Syndrome</t>
        </is>
      </c>
      <c r="C352" s="8" t="inlineStr">
        <is>
          <t>SLSN7</t>
        </is>
      </c>
      <c r="D352" s="8" t="inlineStr">
        <is>
          <t>613615</t>
        </is>
      </c>
      <c r="E352" s="8" t="inlineStr">
        <is>
          <t>OMIM:613615</t>
        </is>
      </c>
      <c r="F352" s="8" t="inlineStr">
        <is>
          <t>OMIM phenotype entry</t>
        </is>
      </c>
      <c r="G352" s="8" t="inlineStr">
        <is>
          <t>Primary</t>
        </is>
      </c>
      <c r="H352" s="8" t="inlineStr">
        <is>
          <t>Renal-hepatic ciliopathy</t>
        </is>
      </c>
      <c r="I352" s="8" t="inlineStr">
        <is>
          <t>SDCCAG8</t>
        </is>
      </c>
      <c r="J352" s="8" t="inlineStr">
        <is>
          <t>AR</t>
        </is>
      </c>
      <c r="K352" s="8" t="inlineStr">
        <is>
          <t>Eyes; Genitourinary; Nervous system</t>
        </is>
      </c>
      <c r="L352" s="8" t="n">
        <v>3</v>
      </c>
      <c r="M352" s="8" t="inlineStr">
        <is>
          <t>HP:0001256; HP:0000090; HP:0000546</t>
        </is>
      </c>
      <c r="N352" s="8" t="inlineStr">
        <is>
          <t>Yes</t>
        </is>
      </c>
      <c r="O352" s="8" t="n"/>
      <c r="P352" s="8" t="n"/>
    </row>
    <row r="353">
      <c r="A353" s="8" t="inlineStr">
        <is>
          <t>CILP_0352</t>
        </is>
      </c>
      <c r="B353" s="8" t="inlineStr">
        <is>
          <t>Senior-Løken Syndrome</t>
        </is>
      </c>
      <c r="C353" s="8" t="inlineStr">
        <is>
          <t>SLSN8</t>
        </is>
      </c>
      <c r="D353" s="8" t="inlineStr">
        <is>
          <t>616307</t>
        </is>
      </c>
      <c r="E353" s="8" t="inlineStr">
        <is>
          <t>OMIM:616307</t>
        </is>
      </c>
      <c r="F353" s="8" t="inlineStr">
        <is>
          <t>OMIM phenotype entry</t>
        </is>
      </c>
      <c r="G353" s="8" t="inlineStr">
        <is>
          <t>Primary</t>
        </is>
      </c>
      <c r="H353" s="8" t="inlineStr">
        <is>
          <t>Renal-hepatic ciliopathy</t>
        </is>
      </c>
      <c r="I353" s="8" t="inlineStr">
        <is>
          <t>WDR19</t>
        </is>
      </c>
      <c r="J353" s="8" t="inlineStr">
        <is>
          <t>AR</t>
        </is>
      </c>
      <c r="K353" s="8" t="inlineStr">
        <is>
          <t>Abdomen; Eyes; Cardiovascular; Genitourinary; Limbs; Skeletal; Skin</t>
        </is>
      </c>
      <c r="L353" s="8" t="n">
        <v>15</v>
      </c>
      <c r="M353" s="8" t="inlineStr">
        <is>
          <t>HP:0003774; HP:0000980; HP:0000090; HP:0033149; HP:0010442; HP:0033601; HP:0007663; HP:0002617; HP:0001407; HP:0001737; HP:0000505; HP:0007401; HP:0004737; HP:0000510; HP:0000556</t>
        </is>
      </c>
      <c r="N353" s="8" t="inlineStr">
        <is>
          <t>Yes</t>
        </is>
      </c>
      <c r="O353" s="8" t="n"/>
      <c r="P353" s="8" t="n"/>
    </row>
    <row r="354">
      <c r="A354" s="8" t="inlineStr">
        <is>
          <t>CILP_0353</t>
        </is>
      </c>
      <c r="B354" s="8" t="inlineStr">
        <is>
          <t>Senior-Løken Syndrome</t>
        </is>
      </c>
      <c r="C354" s="8" t="inlineStr">
        <is>
          <t>SLSN9</t>
        </is>
      </c>
      <c r="D354" s="8" t="inlineStr">
        <is>
          <t>616629</t>
        </is>
      </c>
      <c r="E354" s="8" t="inlineStr">
        <is>
          <t>OMIM:616629</t>
        </is>
      </c>
      <c r="F354" s="8" t="inlineStr">
        <is>
          <t>OMIM phenotype entry</t>
        </is>
      </c>
      <c r="G354" s="8" t="inlineStr">
        <is>
          <t>Primary</t>
        </is>
      </c>
      <c r="H354" s="8" t="inlineStr">
        <is>
          <t>Renal-hepatic ciliopathy</t>
        </is>
      </c>
      <c r="I354" s="8" t="inlineStr">
        <is>
          <t>TRAF3IP1</t>
        </is>
      </c>
      <c r="J354" s="8" t="inlineStr">
        <is>
          <t>AR</t>
        </is>
      </c>
      <c r="K354" s="8" t="inlineStr">
        <is>
          <t>Abdomen; Eyes; Endocrine; Growth; Genitourinary; Limbs; Nervous system; Respiratory; Skeletal</t>
        </is>
      </c>
      <c r="L354" s="8" t="n">
        <v>17</v>
      </c>
      <c r="M354" s="8" t="inlineStr">
        <is>
          <t>HP:0003774; HP:0001396; HP:0000486; HP:0001970; HP:0001263; HP:0001395; HP:0000090; HP:0010442; HP:0000639; HP:0000608; HP:0000938; HP:0000510; HP:0000135; HP:0008802; HP:0001513; HP:0000556; HP:0004469</t>
        </is>
      </c>
      <c r="N354" s="8" t="inlineStr">
        <is>
          <t>Yes</t>
        </is>
      </c>
      <c r="O354" s="8" t="n"/>
      <c r="P354" s="8" t="n"/>
    </row>
    <row r="355">
      <c r="A355" s="8" t="inlineStr">
        <is>
          <t>CILP_0354</t>
        </is>
      </c>
      <c r="B355" s="8" t="inlineStr">
        <is>
          <t>Senior-Løken Syndrome</t>
        </is>
      </c>
      <c r="C355" s="8" t="inlineStr">
        <is>
          <t>SLSN</t>
        </is>
      </c>
      <c r="D355" s="8" t="n"/>
      <c r="E355" s="8" t="inlineStr">
        <is>
          <t>OMIM:266900; OMIM:606996; OMIM:609254; OMIM:610189; OMIM:613615; OMIM:616307; OMIM:616629</t>
        </is>
      </c>
      <c r="F355" s="8" t="inlineStr">
        <is>
          <t>Family-level record (combined OMIM entries)</t>
        </is>
      </c>
      <c r="G355" s="8" t="inlineStr">
        <is>
          <t>Primary</t>
        </is>
      </c>
      <c r="H355" s="8" t="inlineStr">
        <is>
          <t>Renal-hepatic ciliopathy</t>
        </is>
      </c>
      <c r="I355" s="8" t="inlineStr">
        <is>
          <t>NPHP3</t>
        </is>
      </c>
      <c r="J355" s="8" t="inlineStr">
        <is>
          <t>AR</t>
        </is>
      </c>
      <c r="K355" s="8" t="inlineStr">
        <is>
          <t>Abdomen; Eyes; Cardiovascular; Endocrine; Growth; Genitourinary; Limbs; Nervous system; Metabolism; Respiratory; Skeletal; Skin</t>
        </is>
      </c>
      <c r="L355" s="8" t="n">
        <v>42</v>
      </c>
      <c r="M355" s="8" t="inlineStr">
        <is>
          <t>HP:0003774; HP:0005576; HP:0000083; HP:0020132; HP:0000090; HP:0001959; HP:0001903; HP:0004727; HP:0000103; HP:0003259; HP:0001249; HP:0000556; HP:0001583; HP:0001141; HP:0000646; HP:0000510; HP:0006817; HP:0007663; HP:0000505; HP:0001256; HP:0000546; HP:0000980; HP:0033149; HP:0010442; HP:0033601; HP:0002617; HP:0001407; HP:0001737; HP:0007401; HP:0004737; HP:0001396; HP:0000486; HP:0001970; HP:0001263; HP:0001395; HP:0000639; HP:0000608; HP:0000938; HP:0000135; HP:0008802; HP:0001513; HP:0004469</t>
        </is>
      </c>
      <c r="N355" s="8" t="inlineStr">
        <is>
          <t>Yes</t>
        </is>
      </c>
      <c r="O355" s="8" t="n"/>
      <c r="P355" s="8" t="n"/>
    </row>
    <row r="356">
      <c r="A356" s="8" t="inlineStr">
        <is>
          <t>CILP_0355</t>
        </is>
      </c>
      <c r="B356" s="8" t="inlineStr">
        <is>
          <t>Short Stature, Onychodysplasia, Facial Dysmorphism, and Hypotrichosis</t>
        </is>
      </c>
      <c r="C356" s="8" t="inlineStr">
        <is>
          <t>SOFT</t>
        </is>
      </c>
      <c r="D356" s="8" t="inlineStr">
        <is>
          <t>614813</t>
        </is>
      </c>
      <c r="E356" s="8" t="inlineStr">
        <is>
          <t>OMIM:614813</t>
        </is>
      </c>
      <c r="F356" s="8" t="inlineStr">
        <is>
          <t>OMIM phenotype entry</t>
        </is>
      </c>
      <c r="G356" s="8" t="inlineStr">
        <is>
          <t>Secondary</t>
        </is>
      </c>
      <c r="H356" s="8" t="inlineStr">
        <is>
          <t>General / needs curation</t>
        </is>
      </c>
      <c r="I356" s="8" t="inlineStr">
        <is>
          <t>POC1A</t>
        </is>
      </c>
      <c r="J356" s="8" t="inlineStr">
        <is>
          <t>AR</t>
        </is>
      </c>
      <c r="K356" s="8" t="inlineStr">
        <is>
          <t>Eyes; Ears; Endocrine; Growth; Genitourinary; Head and neck; Limbs; Nervous system; Metabolism; Skeletal; Skin</t>
        </is>
      </c>
      <c r="L356" s="8" t="n">
        <v>47</v>
      </c>
      <c r="M356" s="8" t="inlineStr">
        <is>
          <t>HP:0000164; HP:0001792; HP:0000343; HP:0001773; HP:0008905; HP:0001156; HP:0002164; HP:0001252; HP:0001290; HP:0010049; HP:0000060; HP:0008070; HP:0010743; HP:0000819; HP:0100864; HP:0001508; HP:0011220; HP:0000938; HP:0008551; HP:0009882; HP:0000316; HP:0002515; HP:0030084; HP:0009765; HP:0000455; HP:0001620; HP:0000256; HP:0000798; HP:0000358; HP:0000252; HP:0008839; HP:0002376; HP:0000276; HP:0003187; HP:0000490; HP:0001263; HP:0004590; HP:0010579; HP:0001518; HP:0000448; HP:0000348; HP:0000307; HP:0200055; HP:0001510; HP:0000303; HP:0000325; HP:0000369</t>
        </is>
      </c>
      <c r="N356" s="8" t="inlineStr">
        <is>
          <t>No</t>
        </is>
      </c>
      <c r="O356" s="8" t="inlineStr">
        <is>
          <t>Disease family with fewer than 5 entries</t>
        </is>
      </c>
      <c r="P356" s="8" t="n"/>
    </row>
    <row r="357">
      <c r="A357" s="8" t="inlineStr">
        <is>
          <t>CILP_0356</t>
        </is>
      </c>
      <c r="B357" s="8" t="inlineStr">
        <is>
          <t>Short-rib Thoracic Dysplasia</t>
        </is>
      </c>
      <c r="C357" s="8" t="inlineStr">
        <is>
          <t>SRTD6</t>
        </is>
      </c>
      <c r="D357" s="8" t="inlineStr">
        <is>
          <t>263520</t>
        </is>
      </c>
      <c r="E357" s="8" t="inlineStr">
        <is>
          <t>OMIM:263520</t>
        </is>
      </c>
      <c r="F357" s="8" t="inlineStr">
        <is>
          <t>OMIM phenotype entry</t>
        </is>
      </c>
      <c r="G357" s="8" t="inlineStr">
        <is>
          <t>Primary</t>
        </is>
      </c>
      <c r="H357" s="8" t="inlineStr">
        <is>
          <t>Skeletal ciliopathy</t>
        </is>
      </c>
      <c r="I357" s="8" t="inlineStr">
        <is>
          <t>NEK1</t>
        </is>
      </c>
      <c r="J357" s="8" t="inlineStr">
        <is>
          <t>DIGENIC; AR</t>
        </is>
      </c>
      <c r="K357" s="8" t="inlineStr">
        <is>
          <t>Abdomen; Eyes; Cardiovascular; Genitourinary; Head and neck; Limbs; Nervous system; Metabolism; Respiratory; Skeletal</t>
        </is>
      </c>
      <c r="L357" s="8" t="n">
        <v>40</v>
      </c>
      <c r="M357" s="8" t="inlineStr">
        <is>
          <t>HP:0001177; HP:0002089; HP:0005873; HP:0000540; HP:0001156; HP:0000062; HP:0000161; HP:0001395; HP:0001270; HP:0001629; HP:0001789; HP:0001302; HP:0000774; HP:0000895; HP:0000113; HP:0000773; HP:0000556; HP:0005349; HP:0001600; HP:0001320; HP:0005766; HP:0003026; HP:0000054; HP:0006956; HP:0000175; HP:0003027; HP:0000750; HP:0001162; HP:0000171; HP:0011802; HP:0005180; HP:0100732; HP:0000926; HP:0000888; HP:0005817; HP:0000768; HP:0001631; HP:0006644; HP:0002566; HP:0000248</t>
        </is>
      </c>
      <c r="N357" s="8" t="inlineStr">
        <is>
          <t>Yes</t>
        </is>
      </c>
      <c r="O357" s="8" t="n"/>
      <c r="P357" s="8" t="n"/>
    </row>
    <row r="358">
      <c r="A358" s="8" t="inlineStr">
        <is>
          <t>CILP_0357</t>
        </is>
      </c>
      <c r="B358" s="8" t="inlineStr">
        <is>
          <t>Short-rib Thoracic Dysplasia</t>
        </is>
      </c>
      <c r="C358" s="8" t="inlineStr">
        <is>
          <t>SRTD9</t>
        </is>
      </c>
      <c r="D358" s="8" t="inlineStr">
        <is>
          <t>266920</t>
        </is>
      </c>
      <c r="E358" s="8" t="inlineStr">
        <is>
          <t>OMIM:266920</t>
        </is>
      </c>
      <c r="F358" s="8" t="inlineStr">
        <is>
          <t>OMIM phenotype entry</t>
        </is>
      </c>
      <c r="G358" s="8" t="inlineStr">
        <is>
          <t>Primary</t>
        </is>
      </c>
      <c r="H358" s="8" t="inlineStr">
        <is>
          <t>Skeletal ciliopathy</t>
        </is>
      </c>
      <c r="I358" s="8" t="inlineStr">
        <is>
          <t>IFT140</t>
        </is>
      </c>
      <c r="J358" s="8" t="inlineStr">
        <is>
          <t>AR</t>
        </is>
      </c>
      <c r="K358" s="8" t="inlineStr">
        <is>
          <t>Abdomen; Eyes; Ears; Cardiovascular; Growth; Genitourinary; Immune system; Head and neck; Limbs; Nervous system; Metabolism; Respiratory; Skeletal; Skin</t>
        </is>
      </c>
      <c r="L358" s="8" t="n">
        <v>93</v>
      </c>
      <c r="M358" s="8" t="inlineStr">
        <is>
          <t>HP:0002421; HP:0004322; HP:0005257; HP:0000243; HP:0000518; HP:0000639; HP:0000510; HP:0007843; HP:0000358; HP:0000252; HP:0000090; HP:0040022; HP:0005819; HP:0009576; HP:0001737; HP:0004209; HP:0000369; HP:0000341; HP:0001396; HP:0000582; HP:0008905; HP:0001395; HP:0002240; HP:0010306; HP:0009162; HP:0002119; HP:0000218; HP:0002236; HP:0034281; HP:0000973; HP:0000110; HP:0001162; HP:0005487; HP:0000073; HP:0000193; HP:0000470; HP:0000191; HP:0000107; HP:0000348; HP:0002007; HP:0001433; HP:0000347; HP:0001831; HP:0000286; HP:0001256; HP:0001250; HP:0001252; HP:0001251; HP:0000319; HP:0011220; HP:0000316; HP:0002612; HP:0000158; HP:0000556; HP:0000572; HP:0002079; HP:0000293; HP:0001263; HP:0000691; HP:0000969; HP:0000729; HP:0000608; HP:0001537; HP:0030151; HP:0007994; HP:0000963; HP:0000687; HP:0030799; HP:0003774; HP:0000260; HP:0002286; HP:0001230; HP:0003090; HP:0010743; HP:0100864; HP:0001508; HP:0001903; HP:0010230; HP:0000938; HP:0000774; HP:0000773; HP:0009803; HP:0000550; HP:0000154; HP:0001363; HP:0000431; HP:0005565; HP:0005280; HP:0032988; HP:0001919; HP:0000822; HP:0002209; HP:0002205</t>
        </is>
      </c>
      <c r="N358" s="8" t="inlineStr">
        <is>
          <t>Yes</t>
        </is>
      </c>
      <c r="O358" s="8" t="n"/>
      <c r="P358" s="8" t="n"/>
    </row>
    <row r="359">
      <c r="A359" s="8" t="inlineStr">
        <is>
          <t>CILP_0358</t>
        </is>
      </c>
      <c r="B359" s="8" t="inlineStr">
        <is>
          <t>Short-rib Thoracic Dysplasia</t>
        </is>
      </c>
      <c r="C359" s="8" t="inlineStr">
        <is>
          <t>SRTD2</t>
        </is>
      </c>
      <c r="D359" s="8" t="inlineStr">
        <is>
          <t>611263</t>
        </is>
      </c>
      <c r="E359" s="8" t="inlineStr">
        <is>
          <t>OMIM:611263</t>
        </is>
      </c>
      <c r="F359" s="8" t="inlineStr">
        <is>
          <t>OMIM phenotype entry</t>
        </is>
      </c>
      <c r="G359" s="8" t="inlineStr">
        <is>
          <t>Primary</t>
        </is>
      </c>
      <c r="H359" s="8" t="inlineStr">
        <is>
          <t>Skeletal ciliopathy</t>
        </is>
      </c>
      <c r="I359" s="8" t="inlineStr">
        <is>
          <t>IFT80</t>
        </is>
      </c>
      <c r="J359" s="8" t="inlineStr">
        <is>
          <t>AR</t>
        </is>
      </c>
      <c r="K359" s="8" t="inlineStr">
        <is>
          <t>Growth; Limbs; Skeletal</t>
        </is>
      </c>
      <c r="L359" s="8" t="n">
        <v>8</v>
      </c>
      <c r="M359" s="8" t="inlineStr">
        <is>
          <t>HP:0003027; HP:0001773; HP:0008905; HP:0001156; HP:0001162; HP:0010049; HP:0000774; HP:0001169</t>
        </is>
      </c>
      <c r="N359" s="8" t="inlineStr">
        <is>
          <t>Yes</t>
        </is>
      </c>
      <c r="O359" s="8" t="n"/>
      <c r="P359" s="8" t="n"/>
    </row>
    <row r="360">
      <c r="A360" s="8" t="inlineStr">
        <is>
          <t>CILP_0359</t>
        </is>
      </c>
      <c r="B360" s="8" t="inlineStr">
        <is>
          <t>Short-rib Thoracic Dysplasia</t>
        </is>
      </c>
      <c r="C360" s="8" t="inlineStr">
        <is>
          <t>SRTD3</t>
        </is>
      </c>
      <c r="D360" s="8" t="inlineStr">
        <is>
          <t>613091</t>
        </is>
      </c>
      <c r="E360" s="8" t="inlineStr">
        <is>
          <t>OMIM:613091</t>
        </is>
      </c>
      <c r="F360" s="8" t="inlineStr">
        <is>
          <t>OMIM phenotype entry</t>
        </is>
      </c>
      <c r="G360" s="8" t="inlineStr">
        <is>
          <t>Primary</t>
        </is>
      </c>
      <c r="H360" s="8" t="inlineStr">
        <is>
          <t>Skeletal ciliopathy</t>
        </is>
      </c>
      <c r="I360" s="8" t="inlineStr">
        <is>
          <t>DYNC2H1</t>
        </is>
      </c>
      <c r="J360" s="8" t="inlineStr">
        <is>
          <t>DIGENIC; AR</t>
        </is>
      </c>
      <c r="K360" s="8" t="inlineStr">
        <is>
          <t>Abdomen; Growth; Genitourinary; Head and neck; Limbs; Nervous system; Skeletal</t>
        </is>
      </c>
      <c r="L360" s="8" t="n">
        <v>33</v>
      </c>
      <c r="M360" s="8" t="inlineStr">
        <is>
          <t>HP:0003038; HP:0003016; HP:0002980; HP:0002023; HP:0005257; HP:0001156; HP:0004322; HP:0000062; HP:0001274; HP:0005054; HP:0010297; HP:0000895; HP:0000773; HP:0000113; HP:0003026; HP:0000110; HP:0000054; HP:0000175; HP:0002650; HP:0001762; HP:0003022; HP:0011927; HP:0002350; HP:0010454; HP:0011802; HP:0010579; HP:0100259; HP:0100258; HP:0000888; HP:0009556; HP:0002566; HP:0000105; HP:0000204</t>
        </is>
      </c>
      <c r="N360" s="8" t="inlineStr">
        <is>
          <t>Yes</t>
        </is>
      </c>
      <c r="O360" s="8" t="n"/>
      <c r="P360" s="8" t="n"/>
    </row>
    <row r="361">
      <c r="A361" s="8" t="inlineStr">
        <is>
          <t>CILP_0360</t>
        </is>
      </c>
      <c r="B361" s="8" t="inlineStr">
        <is>
          <t>Short-rib Thoracic Dysplasia</t>
        </is>
      </c>
      <c r="C361" s="8" t="inlineStr">
        <is>
          <t>SRTD4</t>
        </is>
      </c>
      <c r="D361" s="8" t="inlineStr">
        <is>
          <t>613819</t>
        </is>
      </c>
      <c r="E361" s="8" t="inlineStr">
        <is>
          <t>OMIM:613819</t>
        </is>
      </c>
      <c r="F361" s="8" t="inlineStr">
        <is>
          <t>OMIM phenotype entry</t>
        </is>
      </c>
      <c r="G361" s="8" t="inlineStr">
        <is>
          <t>Primary</t>
        </is>
      </c>
      <c r="H361" s="8" t="inlineStr">
        <is>
          <t>Skeletal ciliopathy</t>
        </is>
      </c>
      <c r="I361" s="8" t="inlineStr">
        <is>
          <t>TTC21B</t>
        </is>
      </c>
      <c r="J361" s="8" t="inlineStr">
        <is>
          <t>AR</t>
        </is>
      </c>
      <c r="K361" s="8" t="inlineStr">
        <is>
          <t>Abdomen; Growth; Genitourinary; Limbs; Skeletal</t>
        </is>
      </c>
      <c r="L361" s="8" t="n">
        <v>8</v>
      </c>
      <c r="M361" s="8" t="inlineStr">
        <is>
          <t>HP:0003026; HP:0003774; HP:0002650; HP:0004322; HP:0001156; HP:0001407; HP:0010442; HP:0000774</t>
        </is>
      </c>
      <c r="N361" s="8" t="inlineStr">
        <is>
          <t>Yes</t>
        </is>
      </c>
      <c r="O361" s="8" t="n"/>
      <c r="P361" s="8" t="n"/>
    </row>
    <row r="362">
      <c r="A362" s="8" t="inlineStr">
        <is>
          <t>CILP_0361</t>
        </is>
      </c>
      <c r="B362" s="8" t="inlineStr">
        <is>
          <t>Short-rib Thoracic Dysplasia</t>
        </is>
      </c>
      <c r="C362" s="8" t="inlineStr">
        <is>
          <t>SRTD7</t>
        </is>
      </c>
      <c r="D362" s="8" t="inlineStr">
        <is>
          <t>614091</t>
        </is>
      </c>
      <c r="E362" s="8" t="inlineStr">
        <is>
          <t>OMIM:614091</t>
        </is>
      </c>
      <c r="F362" s="8" t="inlineStr">
        <is>
          <t>OMIM phenotype entry</t>
        </is>
      </c>
      <c r="G362" s="8" t="inlineStr">
        <is>
          <t>Primary</t>
        </is>
      </c>
      <c r="H362" s="8" t="inlineStr">
        <is>
          <t>Skeletal ciliopathy</t>
        </is>
      </c>
      <c r="I362" s="8" t="inlineStr">
        <is>
          <t>WDR35</t>
        </is>
      </c>
      <c r="J362" s="8" t="inlineStr">
        <is>
          <t>AR</t>
        </is>
      </c>
      <c r="K362" s="8" t="inlineStr">
        <is>
          <t>Abdomen; Growth; Genitourinary; Head and neck; Limbs; Metabolism; Respiratory; Skeletal; Skin</t>
        </is>
      </c>
      <c r="L362" s="8" t="n">
        <v>37</v>
      </c>
      <c r="M362" s="8" t="inlineStr">
        <is>
          <t>HP:0000286; HP:0002983; HP:0000882; HP:0002089; HP:0000200; HP:0000089; HP:0001156; HP:0004322; HP:0002164; HP:0001395; HP:0010442; HP:0008070; HP:0100840; HP:0009882; HP:0001789; HP:0000218; HP:0000774; HP:0000773; HP:0000113; HP:0000476; HP:0003026; HP:0003027; HP:0002213; HP:0000175; HP:0001541; HP:0000691; HP:0010812; HP:0003180; HP:0100259; HP:0000107; HP:0006487; HP:0001159; HP:0000268; HP:0000047; HP:0006644; HP:0011090; HP:0006349</t>
        </is>
      </c>
      <c r="N362" s="8" t="inlineStr">
        <is>
          <t>Yes</t>
        </is>
      </c>
      <c r="O362" s="8" t="n"/>
      <c r="P362" s="8" t="n"/>
    </row>
    <row r="363">
      <c r="A363" s="8" t="inlineStr">
        <is>
          <t>CILP_0362</t>
        </is>
      </c>
      <c r="B363" s="8" t="inlineStr">
        <is>
          <t>Short-rib Thoracic Dysplasia</t>
        </is>
      </c>
      <c r="C363" s="8" t="inlineStr">
        <is>
          <t>SRTD5</t>
        </is>
      </c>
      <c r="D363" s="8" t="inlineStr">
        <is>
          <t>614376</t>
        </is>
      </c>
      <c r="E363" s="8" t="inlineStr">
        <is>
          <t>OMIM:614376</t>
        </is>
      </c>
      <c r="F363" s="8" t="inlineStr">
        <is>
          <t>OMIM phenotype entry</t>
        </is>
      </c>
      <c r="G363" s="8" t="inlineStr">
        <is>
          <t>Primary</t>
        </is>
      </c>
      <c r="H363" s="8" t="inlineStr">
        <is>
          <t>Skeletal ciliopathy</t>
        </is>
      </c>
      <c r="I363" s="8" t="inlineStr">
        <is>
          <t>WDR19</t>
        </is>
      </c>
      <c r="J363" s="8" t="inlineStr">
        <is>
          <t>AR</t>
        </is>
      </c>
      <c r="K363" s="8" t="inlineStr">
        <is>
          <t>Abdomen; Eyes; Cardiovascular; Growth; Genitourinary; Immune system; Head and neck; Limbs; Metabolism; Respiratory; Skeletal</t>
        </is>
      </c>
      <c r="L363" s="8" t="n">
        <v>27</v>
      </c>
      <c r="M363" s="8" t="inlineStr">
        <is>
          <t>HP:0004743; HP:0003774; HP:0003016; HP:0008905; HP:0001773; HP:0001156; HP:0000023; HP:0000089; HP:0004322; HP:0002240; HP:0006371; HP:0000518; HP:0100866; HP:0000219; HP:0000774; HP:0007843; HP:0002558; HP:0000099; HP:0000431; HP:0000293; HP:0010454; HP:0000093; HP:0002091; HP:0008081; HP:0006644; HP:0000545; HP:0003259</t>
        </is>
      </c>
      <c r="N363" s="8" t="inlineStr">
        <is>
          <t>Yes</t>
        </is>
      </c>
      <c r="O363" s="8" t="n"/>
      <c r="P363" s="8" t="n"/>
    </row>
    <row r="364">
      <c r="A364" s="8" t="inlineStr">
        <is>
          <t>CILP_0363</t>
        </is>
      </c>
      <c r="B364" s="8" t="inlineStr">
        <is>
          <t>Short-rib Thoracic Dysplasia</t>
        </is>
      </c>
      <c r="C364" s="8" t="inlineStr">
        <is>
          <t>SRTD8</t>
        </is>
      </c>
      <c r="D364" s="8" t="inlineStr">
        <is>
          <t>615503</t>
        </is>
      </c>
      <c r="E364" s="8" t="inlineStr">
        <is>
          <t>OMIM:615503</t>
        </is>
      </c>
      <c r="F364" s="8" t="inlineStr">
        <is>
          <t>OMIM phenotype entry</t>
        </is>
      </c>
      <c r="G364" s="8" t="inlineStr">
        <is>
          <t>Primary</t>
        </is>
      </c>
      <c r="H364" s="8" t="inlineStr">
        <is>
          <t>Skeletal ciliopathy</t>
        </is>
      </c>
      <c r="I364" s="8" t="inlineStr">
        <is>
          <t>DYNC2I1</t>
        </is>
      </c>
      <c r="J364" s="8" t="inlineStr">
        <is>
          <t>AR</t>
        </is>
      </c>
      <c r="K364" s="8" t="inlineStr">
        <is>
          <t>Abdomen; Cardiovascular; Growth; Genitourinary; Head and neck; Limbs; Respiratory; Skeletal</t>
        </is>
      </c>
      <c r="L364" s="8" t="n">
        <v>20</v>
      </c>
      <c r="M364" s="8" t="inlineStr">
        <is>
          <t>HP:0003026; HP:0001561; HP:0002980; HP:0002089; HP:0001156; HP:0004322; HP:0000062; HP:0010454; HP:0005280; HP:0100732; HP:0100259; HP:0100258; HP:0001508; HP:0001629; HP:0000895; HP:0000774; HP:0001159; HP:0000256; HP:0000773; HP:0006644</t>
        </is>
      </c>
      <c r="N364" s="8" t="inlineStr">
        <is>
          <t>Yes</t>
        </is>
      </c>
      <c r="O364" s="8" t="n"/>
      <c r="P364" s="8" t="n"/>
    </row>
    <row r="365">
      <c r="A365" s="8" t="inlineStr">
        <is>
          <t>CILP_0364</t>
        </is>
      </c>
      <c r="B365" s="8" t="inlineStr">
        <is>
          <t>Short-rib Thoracic Dysplasia</t>
        </is>
      </c>
      <c r="C365" s="8" t="inlineStr">
        <is>
          <t>SRTD10</t>
        </is>
      </c>
      <c r="D365" s="8" t="inlineStr">
        <is>
          <t>615630</t>
        </is>
      </c>
      <c r="E365" s="8" t="inlineStr">
        <is>
          <t>OMIM:615630</t>
        </is>
      </c>
      <c r="F365" s="8" t="inlineStr">
        <is>
          <t>OMIM phenotype entry</t>
        </is>
      </c>
      <c r="G365" s="8" t="inlineStr">
        <is>
          <t>Primary</t>
        </is>
      </c>
      <c r="H365" s="8" t="inlineStr">
        <is>
          <t>Skeletal ciliopathy</t>
        </is>
      </c>
      <c r="I365" s="8" t="inlineStr">
        <is>
          <t>IFT172</t>
        </is>
      </c>
      <c r="J365" s="8" t="inlineStr">
        <is>
          <t>AR</t>
        </is>
      </c>
      <c r="K365" s="8" t="inlineStr">
        <is>
          <t>Abdomen; Eyes; Cardiovascular; Growth; Genitourinary; Immune system; Head and neck; Limbs; Nervous system; Metabolism; Skeletal</t>
        </is>
      </c>
      <c r="L365" s="8" t="n">
        <v>30</v>
      </c>
      <c r="M365" s="8" t="inlineStr">
        <is>
          <t>HP:0001396; HP:0001399; HP:0000662; HP:0005257; HP:0004322; HP:0001156; HP:0001591; HP:0001395; HP:0002240; HP:0012622; HP:0001629; HP:0010230; HP:0000657; HP:0000238; HP:0002119; HP:0002857; HP:0000895; HP:0000773; HP:0001744; HP:0001249; HP:0001320; HP:0003026; HP:0001162; HP:0000090; HP:0040270; HP:0000546; HP:0000202; HP:0006644; HP:0001513; HP:0001952</t>
        </is>
      </c>
      <c r="N365" s="8" t="inlineStr">
        <is>
          <t>Yes</t>
        </is>
      </c>
      <c r="O365" s="8" t="n"/>
      <c r="P365" s="8" t="n"/>
    </row>
    <row r="366">
      <c r="A366" s="8" t="inlineStr">
        <is>
          <t>CILP_0365</t>
        </is>
      </c>
      <c r="B366" s="8" t="inlineStr">
        <is>
          <t>Short-rib Thoracic Dysplasia</t>
        </is>
      </c>
      <c r="C366" s="8" t="inlineStr">
        <is>
          <t>SRTD11</t>
        </is>
      </c>
      <c r="D366" s="8" t="inlineStr">
        <is>
          <t>615633</t>
        </is>
      </c>
      <c r="E366" s="8" t="inlineStr">
        <is>
          <t>OMIM:615633</t>
        </is>
      </c>
      <c r="F366" s="8" t="inlineStr">
        <is>
          <t>OMIM phenotype entry</t>
        </is>
      </c>
      <c r="G366" s="8" t="inlineStr">
        <is>
          <t>Primary</t>
        </is>
      </c>
      <c r="H366" s="8" t="inlineStr">
        <is>
          <t>Skeletal ciliopathy</t>
        </is>
      </c>
      <c r="I366" s="8" t="inlineStr">
        <is>
          <t>DYNC2I2</t>
        </is>
      </c>
      <c r="J366" s="8" t="inlineStr">
        <is>
          <t>AR</t>
        </is>
      </c>
      <c r="K366" s="8" t="inlineStr">
        <is>
          <t>Eyes; Growth; Genitourinary; Immune system; Limbs; Nervous system; Respiratory; Skeletal</t>
        </is>
      </c>
      <c r="L366" s="8" t="n">
        <v>16</v>
      </c>
      <c r="M366" s="8" t="inlineStr">
        <is>
          <t>HP:0000121; HP:0003026; HP:0001561; HP:0000750; HP:0001156; HP:0001591; HP:0002093; HP:0100259; HP:0000888; HP:0002205; HP:0000774; HP:0000510; HP:0000895; HP:0006644; HP:0000028; HP:0001513</t>
        </is>
      </c>
      <c r="N366" s="8" t="inlineStr">
        <is>
          <t>Yes</t>
        </is>
      </c>
      <c r="O366" s="8" t="n"/>
      <c r="P366" s="8" t="n"/>
    </row>
    <row r="367">
      <c r="A367" s="8" t="inlineStr">
        <is>
          <t>CILP_0366</t>
        </is>
      </c>
      <c r="B367" s="8" t="inlineStr">
        <is>
          <t>Short-rib Thoracic Dysplasia</t>
        </is>
      </c>
      <c r="C367" s="8" t="inlineStr">
        <is>
          <t>SRTD13</t>
        </is>
      </c>
      <c r="D367" s="8" t="inlineStr">
        <is>
          <t>616300</t>
        </is>
      </c>
      <c r="E367" s="8" t="inlineStr">
        <is>
          <t>OMIM:616300</t>
        </is>
      </c>
      <c r="F367" s="8" t="inlineStr">
        <is>
          <t>OMIM phenotype entry</t>
        </is>
      </c>
      <c r="G367" s="8" t="inlineStr">
        <is>
          <t>Primary</t>
        </is>
      </c>
      <c r="H367" s="8" t="inlineStr">
        <is>
          <t>Skeletal ciliopathy</t>
        </is>
      </c>
      <c r="I367" s="8" t="inlineStr">
        <is>
          <t>CEP120</t>
        </is>
      </c>
      <c r="J367" s="8" t="inlineStr">
        <is>
          <t>AR</t>
        </is>
      </c>
      <c r="K367" s="8" t="inlineStr">
        <is>
          <t>Abdomen; Eyes; Ears; Cardiovascular; Growth; Genitourinary; Head and neck; Limbs; Nervous system; Respiratory; Skeletal; Skin</t>
        </is>
      </c>
      <c r="L367" s="8" t="n">
        <v>45</v>
      </c>
      <c r="M367" s="8" t="inlineStr">
        <is>
          <t>HP:0003038; HP:0008905; HP:0002089; HP:0002023; HP:0000089; HP:0001591; HP:0000062; HP:0003177; HP:0003375; HP:0004482; HP:0002084; HP:0410030; HP:0000280; HP:0000180; HP:0045075; HP:0011315; HP:0010297; HP:0011340; HP:0000316; HP:0002419; HP:0001305; HP:0001643; HP:0000774; HP:0000773; HP:0003026; HP:0000175; HP:0000695; HP:0008839; HP:0001321; HP:0002692; HP:0011800; HP:0002093; HP:0011802; HP:0003180; HP:0100259; HP:0100258; HP:0000308; HP:0000107; HP:0000448; HP:0000888; HP:0000568; HP:0001539; HP:0000400; HP:0005736; HP:0000028</t>
        </is>
      </c>
      <c r="N367" s="8" t="inlineStr">
        <is>
          <t>Yes</t>
        </is>
      </c>
      <c r="O367" s="8" t="n"/>
      <c r="P367" s="8" t="n"/>
    </row>
    <row r="368">
      <c r="A368" s="8" t="inlineStr">
        <is>
          <t>CILP_0367</t>
        </is>
      </c>
      <c r="B368" s="8" t="inlineStr">
        <is>
          <t>Short-rib Thoracic Dysplasia</t>
        </is>
      </c>
      <c r="C368" s="8" t="inlineStr">
        <is>
          <t>SRTD14</t>
        </is>
      </c>
      <c r="D368" s="8" t="inlineStr">
        <is>
          <t>616546</t>
        </is>
      </c>
      <c r="E368" s="8" t="inlineStr">
        <is>
          <t>OMIM:616546</t>
        </is>
      </c>
      <c r="F368" s="8" t="inlineStr">
        <is>
          <t>OMIM phenotype entry</t>
        </is>
      </c>
      <c r="G368" s="8" t="inlineStr">
        <is>
          <t>Primary</t>
        </is>
      </c>
      <c r="H368" s="8" t="inlineStr">
        <is>
          <t>Skeletal ciliopathy</t>
        </is>
      </c>
      <c r="I368" s="8" t="inlineStr">
        <is>
          <t>KIAA0586</t>
        </is>
      </c>
      <c r="J368" s="8" t="inlineStr">
        <is>
          <t>AR</t>
        </is>
      </c>
      <c r="K368" s="8" t="inlineStr">
        <is>
          <t>Abdomen; Eyes; Ears; Cardiovascular; Genitourinary; Head and neck; Limbs; Nervous system; Metabolism; Respiratory; Skeletal</t>
        </is>
      </c>
      <c r="L368" s="8" t="n">
        <v>33</v>
      </c>
      <c r="M368" s="8" t="inlineStr">
        <is>
          <t>HP:0002323; HP:0002983; HP:0002089; HP:0002365; HP:0000480; HP:0001290; HP:0002280; HP:0000238; HP:0001789; HP:0002419; HP:0002119; HP:0000774; HP:0002436; HP:0000773; HP:0000113; HP:0000776; HP:0001320; HP:0001265; HP:0000175; HP:0000054; HP:0001561; HP:0002079; HP:0000470; HP:0032466; HP:0011802; HP:0000191; HP:0005280; HP:0100259; HP:0100258; HP:0006660; HP:0001631; HP:0000369; HP:0002126</t>
        </is>
      </c>
      <c r="N368" s="8" t="inlineStr">
        <is>
          <t>Yes</t>
        </is>
      </c>
      <c r="O368" s="8" t="n"/>
      <c r="P368" s="8" t="n"/>
    </row>
    <row r="369">
      <c r="A369" s="8" t="inlineStr">
        <is>
          <t>CILP_0368</t>
        </is>
      </c>
      <c r="B369" s="8" t="inlineStr">
        <is>
          <t>Short-rib Thoracic Dysplasia</t>
        </is>
      </c>
      <c r="C369" s="8" t="inlineStr">
        <is>
          <t>SRTD15</t>
        </is>
      </c>
      <c r="D369" s="8" t="inlineStr">
        <is>
          <t>617088</t>
        </is>
      </c>
      <c r="E369" s="8" t="inlineStr">
        <is>
          <t>OMIM:617088</t>
        </is>
      </c>
      <c r="F369" s="8" t="inlineStr">
        <is>
          <t>OMIM phenotype entry</t>
        </is>
      </c>
      <c r="G369" s="8" t="inlineStr">
        <is>
          <t>Primary</t>
        </is>
      </c>
      <c r="H369" s="8" t="inlineStr">
        <is>
          <t>Skeletal ciliopathy</t>
        </is>
      </c>
      <c r="I369" s="8" t="inlineStr">
        <is>
          <t>DYNC2LI1</t>
        </is>
      </c>
      <c r="J369" s="8" t="inlineStr">
        <is>
          <t>AR</t>
        </is>
      </c>
      <c r="K369" s="8" t="inlineStr">
        <is>
          <t>Abdomen; Ears; Cardiovascular; Growth; Genitourinary; Immune system; Head and neck; Limbs; Respiratory; Skeletal; Skin</t>
        </is>
      </c>
      <c r="L369" s="8" t="n">
        <v>31</v>
      </c>
      <c r="M369" s="8" t="inlineStr">
        <is>
          <t>HP:0000286; HP:0001156; HP:0004322; HP:0002164; HP:0000161; HP:0002240; HP:0000085; HP:0010566; HP:0006695; HP:0008753; HP:0001643; HP:0000774; HP:0000894; HP:0000773; HP:0001744; HP:0003026; HP:0000494; HP:0001561; HP:0002098; HP:0001162; HP:0001680; HP:0000191; HP:0011069; HP:0005280; HP:0010579; HP:0100259; HP:0030010; HP:0000668; HP:0000888; HP:0000369; HP:0000148</t>
        </is>
      </c>
      <c r="N369" s="8" t="inlineStr">
        <is>
          <t>Yes</t>
        </is>
      </c>
      <c r="O369" s="8" t="n"/>
      <c r="P369" s="8" t="n"/>
    </row>
    <row r="370">
      <c r="A370" s="8" t="inlineStr">
        <is>
          <t>CILP_0369</t>
        </is>
      </c>
      <c r="B370" s="8" t="inlineStr">
        <is>
          <t>Short-rib Thoracic Dysplasia</t>
        </is>
      </c>
      <c r="C370" s="8" t="inlineStr">
        <is>
          <t>SRTD16</t>
        </is>
      </c>
      <c r="D370" s="8" t="inlineStr">
        <is>
          <t>617102</t>
        </is>
      </c>
      <c r="E370" s="8" t="inlineStr">
        <is>
          <t>OMIM:617102</t>
        </is>
      </c>
      <c r="F370" s="8" t="inlineStr">
        <is>
          <t>OMIM phenotype entry</t>
        </is>
      </c>
      <c r="G370" s="8" t="inlineStr">
        <is>
          <t>Primary</t>
        </is>
      </c>
      <c r="H370" s="8" t="inlineStr">
        <is>
          <t>Skeletal ciliopathy</t>
        </is>
      </c>
      <c r="I370" s="8" t="inlineStr">
        <is>
          <t>IFT52</t>
        </is>
      </c>
      <c r="J370" s="8" t="inlineStr">
        <is>
          <t>AR</t>
        </is>
      </c>
      <c r="K370" s="8" t="inlineStr">
        <is>
          <t>Abdomen; Eyes; Ears; Growth; Head and neck; Limbs; Nervous system; Respiratory; Skeletal</t>
        </is>
      </c>
      <c r="L370" s="8" t="n">
        <v>32</v>
      </c>
      <c r="M370" s="8" t="inlineStr">
        <is>
          <t>HP:0007814; HP:0001156; HP:0000540; HP:0004322; HP:0010049; HP:0001270; HP:0010306; HP:0010743; HP:0000639; HP:0010230; HP:0012471; HP:0009882; HP:0000774; HP:0009803; HP:0000670; HP:0009826; HP:0000431; HP:0002079; HP:0000293; HP:0002098; HP:0011800; HP:0005280; HP:0003180; HP:0100259; HP:0000506; HP:0032078; HP:0000348; HP:0001538; HP:0000268; HP:0001852; HP:0000369; HP:0000687</t>
        </is>
      </c>
      <c r="N370" s="8" t="inlineStr">
        <is>
          <t>Yes</t>
        </is>
      </c>
      <c r="O370" s="8" t="n"/>
      <c r="P370" s="8" t="n"/>
    </row>
    <row r="371">
      <c r="A371" s="8" t="inlineStr">
        <is>
          <t>CILP_0370</t>
        </is>
      </c>
      <c r="B371" s="8" t="inlineStr">
        <is>
          <t>Short-rib Thoracic Dysplasia</t>
        </is>
      </c>
      <c r="C371" s="8" t="inlineStr">
        <is>
          <t>SRTD17</t>
        </is>
      </c>
      <c r="D371" s="8" t="inlineStr">
        <is>
          <t>617405</t>
        </is>
      </c>
      <c r="E371" s="8" t="inlineStr">
        <is>
          <t>OMIM:617405</t>
        </is>
      </c>
      <c r="F371" s="8" t="inlineStr">
        <is>
          <t>OMIM phenotype entry</t>
        </is>
      </c>
      <c r="G371" s="8" t="inlineStr">
        <is>
          <t>Primary</t>
        </is>
      </c>
      <c r="H371" s="8" t="inlineStr">
        <is>
          <t>Skeletal ciliopathy</t>
        </is>
      </c>
      <c r="I371" s="8" t="inlineStr">
        <is>
          <t>DYNLT2B</t>
        </is>
      </c>
      <c r="J371" s="8" t="inlineStr">
        <is>
          <t>AR</t>
        </is>
      </c>
      <c r="K371" s="8" t="inlineStr">
        <is>
          <t>Growth; Limbs; Skeletal</t>
        </is>
      </c>
      <c r="L371" s="8" t="n">
        <v>10</v>
      </c>
      <c r="M371" s="8" t="inlineStr">
        <is>
          <t>HP:0004322; HP:0001156; HP:0001162; HP:0010454; HP:0034374; HP:0000888; HP:0000895; HP:0000774; HP:0001830; HP:0000773</t>
        </is>
      </c>
      <c r="N371" s="8" t="inlineStr">
        <is>
          <t>Yes</t>
        </is>
      </c>
      <c r="O371" s="8" t="n"/>
      <c r="P371" s="8" t="n"/>
    </row>
    <row r="372">
      <c r="A372" s="8" t="inlineStr">
        <is>
          <t>CILP_0371</t>
        </is>
      </c>
      <c r="B372" s="8" t="inlineStr">
        <is>
          <t>Short-rib Thoracic Dysplasia</t>
        </is>
      </c>
      <c r="C372" s="8" t="inlineStr">
        <is>
          <t>SRTD18</t>
        </is>
      </c>
      <c r="D372" s="8" t="inlineStr">
        <is>
          <t>617866</t>
        </is>
      </c>
      <c r="E372" s="8" t="inlineStr">
        <is>
          <t>OMIM:617866</t>
        </is>
      </c>
      <c r="F372" s="8" t="inlineStr">
        <is>
          <t>OMIM phenotype entry</t>
        </is>
      </c>
      <c r="G372" s="8" t="inlineStr">
        <is>
          <t>Primary</t>
        </is>
      </c>
      <c r="H372" s="8" t="inlineStr">
        <is>
          <t>Skeletal ciliopathy</t>
        </is>
      </c>
      <c r="I372" s="8" t="inlineStr">
        <is>
          <t>IFT43</t>
        </is>
      </c>
      <c r="J372" s="8" t="inlineStr">
        <is>
          <t>AR</t>
        </is>
      </c>
      <c r="K372" s="8" t="inlineStr">
        <is>
          <t>Abdomen; Eyes; Genitourinary; Head and neck; Limbs; Nervous system; Skeletal; Skin</t>
        </is>
      </c>
      <c r="L372" s="8" t="n">
        <v>27</v>
      </c>
      <c r="M372" s="8" t="inlineStr">
        <is>
          <t>HP:0000286; HP:0002983; HP:0001156; HP:0005257; HP:0005474; HP:0003031; HP:0003175; HP:0004719; HP:0000316; HP:0000954; HP:0000238; HP:0000219; HP:0002119; HP:0000476; HP:0000113; HP:0000773; HP:0004691; HP:0002190; HP:0100259; HP:0100258; HP:0000926; HP:0008422; HP:0000921; HP:0000268; HP:0002986; HP:0000347; HP:0002566</t>
        </is>
      </c>
      <c r="N372" s="8" t="inlineStr">
        <is>
          <t>Yes</t>
        </is>
      </c>
      <c r="O372" s="8" t="n"/>
      <c r="P372" s="8" t="n"/>
    </row>
    <row r="373">
      <c r="A373" s="8" t="inlineStr">
        <is>
          <t>CILP_0372</t>
        </is>
      </c>
      <c r="B373" s="8" t="inlineStr">
        <is>
          <t>Short-rib Thoracic Dysplasia</t>
        </is>
      </c>
      <c r="C373" s="8" t="inlineStr">
        <is>
          <t>SRTD19</t>
        </is>
      </c>
      <c r="D373" s="8" t="inlineStr">
        <is>
          <t>617895</t>
        </is>
      </c>
      <c r="E373" s="8" t="inlineStr">
        <is>
          <t>OMIM:617895</t>
        </is>
      </c>
      <c r="F373" s="8" t="inlineStr">
        <is>
          <t>OMIM phenotype entry</t>
        </is>
      </c>
      <c r="G373" s="8" t="inlineStr">
        <is>
          <t>Primary</t>
        </is>
      </c>
      <c r="H373" s="8" t="inlineStr">
        <is>
          <t>Skeletal ciliopathy</t>
        </is>
      </c>
      <c r="I373" s="8" t="inlineStr">
        <is>
          <t>IFT81</t>
        </is>
      </c>
      <c r="J373" s="8" t="inlineStr">
        <is>
          <t>AR</t>
        </is>
      </c>
      <c r="K373" s="8" t="inlineStr">
        <is>
          <t>Abdomen; Eyes; Ears; Cardiovascular; Genitourinary; Head and neck; Limbs; Respiratory; Skeletal</t>
        </is>
      </c>
      <c r="L373" s="8" t="n">
        <v>27</v>
      </c>
      <c r="M373" s="8" t="inlineStr">
        <is>
          <t>HP:0002983; HP:0000343; HP:0002089; HP:0005257; HP:0001156; HP:0000062; HP:0001290; HP:0004482; HP:0001629; HP:0011220; HP:0002878; HP:0000895; HP:0000774; HP:0000773; HP:0002098; HP:0011800; HP:0005280; HP:0100259; HP:0000946; HP:0000888; HP:0001539; HP:0000268; HP:0001159; HP:0000520; HP:0002984; HP:0000369; HP:0000269</t>
        </is>
      </c>
      <c r="N373" s="8" t="inlineStr">
        <is>
          <t>Yes</t>
        </is>
      </c>
      <c r="O373" s="8" t="n"/>
      <c r="P373" s="8" t="n"/>
    </row>
    <row r="374">
      <c r="A374" s="8" t="inlineStr">
        <is>
          <t>CILP_0373</t>
        </is>
      </c>
      <c r="B374" s="8" t="inlineStr">
        <is>
          <t>Short-rib Thoracic Dysplasia</t>
        </is>
      </c>
      <c r="C374" s="8" t="inlineStr">
        <is>
          <t>SRTD20</t>
        </is>
      </c>
      <c r="D374" s="8" t="inlineStr">
        <is>
          <t>617925</t>
        </is>
      </c>
      <c r="E374" s="8" t="inlineStr">
        <is>
          <t>OMIM:617925</t>
        </is>
      </c>
      <c r="F374" s="8" t="inlineStr">
        <is>
          <t>OMIM phenotype entry</t>
        </is>
      </c>
      <c r="G374" s="8" t="inlineStr">
        <is>
          <t>Primary</t>
        </is>
      </c>
      <c r="H374" s="8" t="inlineStr">
        <is>
          <t>Skeletal ciliopathy</t>
        </is>
      </c>
      <c r="I374" s="8" t="inlineStr">
        <is>
          <t>INTU</t>
        </is>
      </c>
      <c r="J374" s="8" t="inlineStr">
        <is>
          <t>AR</t>
        </is>
      </c>
      <c r="K374" s="8" t="inlineStr">
        <is>
          <t>Abdomen; Eyes; Ears; Cardiovascular; Genitourinary; Head and neck; Limbs; Respiratory; Skeletal; Skin</t>
        </is>
      </c>
      <c r="L374" s="8" t="n">
        <v>42</v>
      </c>
      <c r="M374" s="8" t="inlineStr">
        <is>
          <t>HP:0008749; HP:0003038; HP:0002023; HP:0001674; HP:0002089; HP:0000260; HP:0003375; HP:0002162; HP:0001153; HP:0005474; HP:0410030; HP:0003173; HP:0008551; HP:0000316; HP:0100628; HP:0000895; HP:0000774; HP:0006610; HP:0000773; HP:0000377; HP:0003026; HP:0000175; HP:0000054; HP:0000695; HP:0003762; HP:0000470; HP:0005285; HP:0011467; HP:0004491; HP:0011802; HP:0005280; HP:0100259; HP:0100258; HP:0000888; HP:0001636; HP:0000568; HP:0100818; HP:0002007; HP:0005736; HP:0000248; HP:0000369; HP:0000347</t>
        </is>
      </c>
      <c r="N374" s="8" t="inlineStr">
        <is>
          <t>Yes</t>
        </is>
      </c>
      <c r="O374" s="8" t="n"/>
      <c r="P374" s="8" t="n"/>
    </row>
    <row r="375">
      <c r="A375" s="8" t="inlineStr">
        <is>
          <t>CILP_0374</t>
        </is>
      </c>
      <c r="B375" s="8" t="inlineStr">
        <is>
          <t>Short-rib Thoracic Dysplasia</t>
        </is>
      </c>
      <c r="C375" s="8" t="inlineStr">
        <is>
          <t>SRTD21</t>
        </is>
      </c>
      <c r="D375" s="8" t="inlineStr">
        <is>
          <t>619479</t>
        </is>
      </c>
      <c r="E375" s="8" t="inlineStr">
        <is>
          <t>OMIM:619479</t>
        </is>
      </c>
      <c r="F375" s="8" t="inlineStr">
        <is>
          <t>OMIM phenotype entry</t>
        </is>
      </c>
      <c r="G375" s="8" t="inlineStr">
        <is>
          <t>Primary</t>
        </is>
      </c>
      <c r="H375" s="8" t="inlineStr">
        <is>
          <t>Skeletal ciliopathy</t>
        </is>
      </c>
      <c r="I375" s="8" t="inlineStr">
        <is>
          <t>KIAA0753</t>
        </is>
      </c>
      <c r="J375" s="8" t="inlineStr">
        <is>
          <t>AR</t>
        </is>
      </c>
      <c r="K375" s="8" t="inlineStr">
        <is>
          <t>Abdomen; Ears; Endocrine; Growth; Genitourinary; Head and neck; Limbs; Nervous system; Respiratory; Skeletal; Skin</t>
        </is>
      </c>
      <c r="L375" s="8" t="n">
        <v>35</v>
      </c>
      <c r="M375" s="8" t="inlineStr">
        <is>
          <t>HP:0000200; HP:0000343; HP:0005257; HP:0001156; HP:0001371; HP:0001252; HP:0005792; HP:0012506; HP:0012368; HP:0034044; HP:0008873; HP:0000998; HP:0002419; HP:0002119; HP:0000774; HP:0000358; HP:0003865; HP:0003026; HP:0006956; HP:0000054; HP:0000750; HP:0000431; HP:0002079; HP:0011968; HP:0002195; HP:0000691; HP:0002194; HP:0033454; HP:0005280; HP:0001538; HP:0002007; HP:0000047; HP:0000369; HP:0002643; HP:0000687</t>
        </is>
      </c>
      <c r="N375" s="8" t="inlineStr">
        <is>
          <t>Yes</t>
        </is>
      </c>
      <c r="O375" s="8" t="n"/>
      <c r="P375" s="8" t="n"/>
    </row>
    <row r="376">
      <c r="A376" s="8" t="inlineStr">
        <is>
          <t>CILP_0375</t>
        </is>
      </c>
      <c r="B376" s="8" t="inlineStr">
        <is>
          <t>Short-rib Thoracic Dysplasia</t>
        </is>
      </c>
      <c r="C376" s="8" t="inlineStr">
        <is>
          <t>SRTD</t>
        </is>
      </c>
      <c r="D376" s="8" t="n"/>
      <c r="E376" s="8" t="inlineStr">
        <is>
          <t>OMIM:263520; OMIM:266920; OMIM:611263; OMIM:613091; OMIM:613819; OMIM:614091; OMIM:614376; OMIM:615503; OMIM:615630; OMIM:615633; OMIM:616300; OMIM:616546; OMIM:617088; OMIM:617102; OMIM:617405; OMIM:617866; OMIM:617895; OMIM:617925; OMIM:619479</t>
        </is>
      </c>
      <c r="F376" s="8" t="inlineStr">
        <is>
          <t>Family-level record (combined OMIM entries)</t>
        </is>
      </c>
      <c r="G376" s="8" t="inlineStr">
        <is>
          <t>Primary</t>
        </is>
      </c>
      <c r="H376" s="8" t="inlineStr">
        <is>
          <t>Skeletal ciliopathy</t>
        </is>
      </c>
      <c r="I376" s="8" t="inlineStr">
        <is>
          <t>GRK2</t>
        </is>
      </c>
      <c r="J376" s="8" t="inlineStr">
        <is>
          <t>DIGENIC; AR</t>
        </is>
      </c>
      <c r="K376" s="8" t="inlineStr">
        <is>
          <t>Abdomen; Eyes; Ears; Cardiovascular; Endocrine; Growth; Genitourinary; Immune system; Head and neck; Limbs; Nervous system; Metabolism; Respiratory; Skeletal; Skin</t>
        </is>
      </c>
      <c r="L376" s="8" t="n">
        <v>303</v>
      </c>
      <c r="M376" s="8" t="inlineStr">
        <is>
          <t>HP:0001177; HP:0002089; HP:0005873; HP:0000540; HP:0001156; HP:0000062; HP:0000161; HP:0001395; HP:0001270; HP:0001629; HP:0001789; HP:0001302; HP:0000774; HP:0000895; HP:0000113; HP:0000773; HP:0000556; HP:0005349; HP:0001600; HP:0001320; HP:0005766; HP:0003026; HP:0000054; HP:0006956; HP:0000175; HP:0003027; HP:0000750; HP:0001162; HP:0000171; HP:0011802; HP:0005180; HP:0100732; HP:0000926; HP:0000888; HP:0005817; HP:0000768; HP:0001631; HP:0006644; HP:0002566; HP:0000248; HP:0002421; HP:0004322; HP:0005257; HP:0000243; HP:0000518; HP:0000639; HP:0000510; HP:0007843; HP:0000358; HP:0000252; HP:0000090; HP:0040022; HP:0005819; HP:0009576; HP:0001737; HP:0004209; HP:0000369; HP:0000341; HP:0001396; HP:0000582; HP:0008905; HP:0002240; HP:0010306; HP:0009162; HP:0002119; HP:0000218; HP:0002236; HP:0034281; HP:0000973; HP:0000110; HP:0005487; HP:0000073; HP:0000193; HP:0000470; HP:0000191; HP:0000107; HP:0000348; HP:0002007; HP:0001433; HP:0000347; HP:0001831; HP:0000286; HP:0001256; HP:0001250; HP:0001252; HP:0001251; HP:0000319; HP:0011220; HP:0000316; HP:0002612; HP:0000158; HP:0000572; HP:0002079; HP:0000293; HP:0001263; HP:0000691; HP:0000969; HP:0000729; HP:0000608; HP:0001537; HP:0030151; HP:0007994; HP:0000963; HP:0000687; HP:0030799; HP:0003774; HP:0000260; HP:0002286; HP:0001230; HP:0003090; HP:0010743; HP:0100864; HP:0001508; HP:0001903; HP:0010230; HP:0000938; HP:0009803; HP:0000550; HP:0000154; HP:0001363; HP:0000431; HP:0005565; HP:0005280; HP:0032988; HP:0001919; HP:0000822; HP:0002209; HP:0002205; HP:0001773; HP:0010049; HP:0001169; HP:0003038; HP:0003016; HP:0002980; HP:0002023; HP:0001274; HP:0005054; HP:0010297; HP:0002650; HP:0001762; HP:0003022; HP:0011927; HP:0002350; HP:0010454; HP:0010579; HP:0100259; HP:0100258; HP:0009556; HP:0000105; HP:0000204; HP:0001407; HP:0010442; HP:0002983; HP:0000882; HP:0000200; HP:0000089; HP:0002164; HP:0008070; HP:0100840; HP:0009882; HP:0000476; HP:0002213; HP:0001541; HP:0010812; HP:0003180; HP:0006487; HP:0001159; HP:0000268; HP:0000047; HP:0011090; HP:0006349; HP:0004743; HP:0000023; HP:0006371; HP:0100866; HP:0000219; HP:0002558; HP:0000099; HP:0000093; HP:0002091; HP:0008081; HP:0000545; HP:0003259; HP:0001561; HP:0000256; HP:0001399; HP:0000662; HP:0001591; HP:0012622; HP:0000657; HP:0000238; HP:0002857; HP:0001744; HP:0001249; HP:0040270; HP:0000546; HP:0000202; HP:0001513; HP:0001952; HP:0000121; HP:0002093; HP:0000028; HP:0003177; HP:0003375; HP:0004482; HP:0002084; HP:0410030; HP:0000280; HP:0000180; HP:0045075; HP:0011315; HP:0011340; HP:0002419; HP:0001305; HP:0001643; HP:0000695; HP:0008839; HP:0001321; HP:0002692; HP:0011800; HP:0000308; HP:0000448; HP:0000568; HP:0001539; HP:0000400; HP:0005736; HP:0002323; HP:0002365; HP:0000480; HP:0001290; HP:0002280; HP:0002436; HP:0000776; HP:0001265; HP:0032466; HP:0006660; HP:0002126; HP:0000085; HP:0010566; HP:0006695; HP:0008753; HP:0000894; HP:0000494; HP:0002098; HP:0001680; HP:0011069; HP:0030010; HP:0000668; HP:0000148; HP:0007814; HP:0012471; HP:0000670; HP:0009826; HP:0000506; HP:0032078; HP:0001538; HP:0001852; HP:0034374; HP:0001830; HP:0005474; HP:0003031; HP:0003175; HP:0004719; HP:0000954; HP:0004691; HP:0002190; HP:0008422; HP:0000921; HP:0002986; HP:0000343; HP:0002878; HP:0000946; HP:0000520; HP:0002984; HP:0000269; HP:0008749; HP:0001674; HP:0002162; HP:0001153; HP:0003173; HP:0008551; HP:0100628; HP:0006610; HP:0000377; HP:0003762; HP:0005285; HP:0011467; HP:0004491; HP:0001636; HP:0100818; HP:0001371; HP:0005792; HP:0012506; HP:0012368; HP:0034044; HP:0008873; HP:0000998; HP:0003865; HP:0011968; HP:0002195; HP:0002194; HP:0033454; HP:0002643</t>
        </is>
      </c>
      <c r="N376" s="8" t="inlineStr">
        <is>
          <t>Yes</t>
        </is>
      </c>
      <c r="O376" s="8" t="n"/>
      <c r="P376" s="8" t="n"/>
    </row>
    <row r="377">
      <c r="A377" s="8" t="inlineStr">
        <is>
          <t>CILP_0376</t>
        </is>
      </c>
      <c r="B377" s="8" t="inlineStr">
        <is>
          <t>Simpson-Golabi-Behmel Syndrome</t>
        </is>
      </c>
      <c r="C377" s="8" t="inlineStr">
        <is>
          <t>SGBS2</t>
        </is>
      </c>
      <c r="D377" s="8" t="inlineStr">
        <is>
          <t>300209</t>
        </is>
      </c>
      <c r="E377" s="8" t="inlineStr">
        <is>
          <t>OMIM:300209</t>
        </is>
      </c>
      <c r="F377" s="8" t="inlineStr">
        <is>
          <t>OMIM phenotype entry</t>
        </is>
      </c>
      <c r="G377" s="8" t="inlineStr">
        <is>
          <t>Secondary</t>
        </is>
      </c>
      <c r="H377" s="8" t="inlineStr">
        <is>
          <t>Atypical / secondary ciliopathy</t>
        </is>
      </c>
      <c r="I377" s="8" t="inlineStr">
        <is>
          <t>OFD1</t>
        </is>
      </c>
      <c r="J377" s="8" t="inlineStr">
        <is>
          <t>XLR</t>
        </is>
      </c>
      <c r="K377" s="8" t="inlineStr">
        <is>
          <t>Abdomen; Ears; Growth; Immune system; Head and neck; Limbs; Nervous system; Respiratory; Skeletal</t>
        </is>
      </c>
      <c r="L377" s="8" t="n">
        <v>16</v>
      </c>
      <c r="M377" s="8" t="inlineStr">
        <is>
          <t>HP:0000023; HP:0002783; HP:0001162; HP:0001263; HP:0001252; HP:0011304; HP:0010864; HP:0009381; HP:0002119; HP:0000218; HP:0002205; HP:0002788; HP:0000256; HP:0000369; HP:0002643; HP:0001513</t>
        </is>
      </c>
      <c r="N377" s="8" t="inlineStr">
        <is>
          <t>No</t>
        </is>
      </c>
      <c r="O377" s="8" t="inlineStr">
        <is>
          <t>Disease family with fewer than 5 entries</t>
        </is>
      </c>
      <c r="P377" s="8" t="n"/>
    </row>
    <row r="378">
      <c r="A378" s="8" t="inlineStr">
        <is>
          <t>CILP_0377</t>
        </is>
      </c>
      <c r="B378" s="8" t="inlineStr">
        <is>
          <t>Simpson-Golabi-Behmel Syndrome</t>
        </is>
      </c>
      <c r="C378" s="8" t="inlineStr">
        <is>
          <t>SGBS1</t>
        </is>
      </c>
      <c r="D378" s="8" t="inlineStr">
        <is>
          <t>312870</t>
        </is>
      </c>
      <c r="E378" s="8" t="inlineStr">
        <is>
          <t>OMIM:312870</t>
        </is>
      </c>
      <c r="F378" s="8" t="inlineStr">
        <is>
          <t>OMIM phenotype entry</t>
        </is>
      </c>
      <c r="G378" s="8" t="inlineStr">
        <is>
          <t>Secondary</t>
        </is>
      </c>
      <c r="H378" s="8" t="inlineStr">
        <is>
          <t>Atypical / secondary ciliopathy</t>
        </is>
      </c>
      <c r="I378" s="8" t="inlineStr">
        <is>
          <t>GPC3</t>
        </is>
      </c>
      <c r="J378" s="8" t="inlineStr">
        <is>
          <t>XLR</t>
        </is>
      </c>
      <c r="K378" s="8" t="inlineStr">
        <is>
          <t>Abdomen; Eyes; Ears; Cardiovascular; Endocrine; Growth; Genitourinary; Immune system; Head and neck; Limbs; Nervous system; Respiratory; Skeletal; Skin</t>
        </is>
      </c>
      <c r="L378" s="8" t="n">
        <v>99</v>
      </c>
      <c r="M378" s="8" t="inlineStr">
        <is>
          <t>HP:0000365; HP:0002023; HP:0000243; HP:0003196; HP:0012471; HP:0009101; HP:0000998; HP:0000238; HP:0000879; HP:0002898; HP:0001169; HP:0008416; HP:0000891; HP:0000098; HP:0000494; HP:0100259; HP:0000767; HP:0008523; HP:0000768; HP:0003517; HP:0002667; HP:0000126; HP:0002245; HP:0002884; HP:0000189; HP:0000463; HP:0001274; HP:0002240; HP:0001270; HP:0006176; HP:0001669; HP:0001548; HP:0000337; HP:0006610; HP:0000212; HP:0001667; HP:0001320; HP:0001561; HP:0004279; HP:0002650; HP:0000750; HP:0001162; HP:0003185; HP:0001837; HP:0000107; HP:0001799; HP:0002643; HP:0000105; HP:0000286; HP:0001773; HP:0002101; HP:0001252; HP:0000280; HP:0009381; HP:0000316; HP:0001769; HP:0001643; HP:0000158; HP:0001642; HP:0000297; HP:0001540; HP:0000175; HP:0005580; HP:0011330; HP:0001537; HP:0002869; HP:0000689; HP:0005616; HP:0000047; HP:0000384; HP:0004467; HP:0000023; HP:0001233; HP:0004464; HP:0003375; HP:0011675; HP:0001629; HP:0009882; HP:0001748; HP:0002711; HP:0002558; HP:0000773; HP:0000256; HP:0001744; HP:0000776; HP:0000154; HP:0003422; HP:0000431; HP:0001762; HP:0004510; HP:0009908; HP:0005160; HP:0005280; HP:0011304; HP:0001638; HP:0001631; HP:0000303; HP:0002566; HP:0000028</t>
        </is>
      </c>
      <c r="N378" s="8" t="inlineStr">
        <is>
          <t>No</t>
        </is>
      </c>
      <c r="O378" s="8" t="inlineStr">
        <is>
          <t>Disease family with fewer than 5 entries</t>
        </is>
      </c>
      <c r="P378" s="8" t="n"/>
    </row>
    <row r="379">
      <c r="A379" s="8" t="inlineStr">
        <is>
          <t>CILP_0378</t>
        </is>
      </c>
      <c r="B379" s="8" t="inlineStr">
        <is>
          <t>Smith-Lemli-Opitz Syndrome</t>
        </is>
      </c>
      <c r="C379" s="8" t="inlineStr">
        <is>
          <t>SLOS</t>
        </is>
      </c>
      <c r="D379" s="8" t="inlineStr">
        <is>
          <t>270400</t>
        </is>
      </c>
      <c r="E379" s="8" t="inlineStr">
        <is>
          <t>OMIM:270400</t>
        </is>
      </c>
      <c r="F379" s="8" t="inlineStr">
        <is>
          <t>OMIM phenotype entry</t>
        </is>
      </c>
      <c r="G379" s="8" t="inlineStr">
        <is>
          <t>Primary</t>
        </is>
      </c>
      <c r="H379" s="8" t="inlineStr">
        <is>
          <t>Atypical / secondary ciliopathy</t>
        </is>
      </c>
      <c r="I379" s="8" t="inlineStr">
        <is>
          <t>DHCR7</t>
        </is>
      </c>
      <c r="J379" s="8" t="inlineStr">
        <is>
          <t>AR</t>
        </is>
      </c>
      <c r="K379" s="8" t="inlineStr">
        <is>
          <t>Abdomen; Eyes; Ears; Cardiovascular; Endocrine; Growth; Genitourinary; Immune system; Head and neck; Limbs; Nervous system; Metabolism; Respiratory; Skeletal; Skin</t>
        </is>
      </c>
      <c r="L379" s="8" t="n">
        <v>117</v>
      </c>
      <c r="M379" s="8" t="inlineStr">
        <is>
          <t>HP:0000365; HP:0000486; HP:0000089; HP:0004322; HP:0000122; HP:0002021; HP:0002020; HP:0001290; HP:0003073; HP:0000081; HP:0010569; HP:0000518; HP:0000639; HP:0007165; HP:0001845; HP:0000238; HP:0009623; HP:0000752; HP:0002019; HP:0001840; HP:0000996; HP:0000358; HP:0000252; HP:0006979; HP:0002033; HP:0004691; HP:0000808; HP:0002827; HP:0001338; HP:0000403; HP:0000369; HP:0000126; HP:0000187; HP:0001397; HP:0001276; HP:0000341; HP:0000343; HP:0002089; HP:0000463; HP:0000062; HP:0001272; HP:0001153; HP:0001394; HP:0002240; HP:0100702; HP:0001305; HP:0002013; HP:0001162; HP:0000193; HP:0002251; HP:0001680; HP:0000074; HP:0010655; HP:0007099; HP:0000508; HP:0000107; HP:0001558; HP:0001830; HP:0000347; HP:0000104; HP:0000742; HP:0007537; HP:0001831; HP:0000286; HP:0002983; HP:0000046; HP:0002101; HP:0001250; HP:0001252; HP:0003270; HP:0000718; HP:0000717; HP:0000316; HP:0000678; HP:0002579; HP:0001643; HP:0001884; HP:0001249; HP:0002611; HP:0001765; HP:0000175; HP:0000054; HP:0001663; HP:0002079; HP:0011968; HP:0000171; HP:0001263; HP:0002506; HP:0000964; HP:0000048; HP:0000047; HP:0000960; HP:0009778; HP:0002283; HP:0001508; HP:0001629; HP:0005709; HP:0030043; HP:0000813; HP:0001623; HP:0001744; HP:0001622; HP:0000431; HP:0003146; HP:0030048; HP:0001360; HP:0005280; HP:0000826; HP:0001639; HP:0000308; HP:0000822; HP:0007333; HP:0001511; HP:0001631; HP:0001510; HP:0000028; HP:0002566</t>
        </is>
      </c>
      <c r="N379" s="8" t="inlineStr">
        <is>
          <t>No</t>
        </is>
      </c>
      <c r="O379" s="8" t="inlineStr">
        <is>
          <t>Disease family with fewer than 5 entries</t>
        </is>
      </c>
      <c r="P379" s="8" t="n"/>
    </row>
    <row r="380">
      <c r="A380" s="8" t="inlineStr">
        <is>
          <t>CILP_0379</t>
        </is>
      </c>
      <c r="B380" s="8" t="inlineStr">
        <is>
          <t>Spinocerebellar Ataxia</t>
        </is>
      </c>
      <c r="C380" s="8" t="inlineStr">
        <is>
          <t>SCA31</t>
        </is>
      </c>
      <c r="D380" s="8" t="inlineStr">
        <is>
          <t>117210</t>
        </is>
      </c>
      <c r="E380" s="8" t="inlineStr">
        <is>
          <t>OMIM:117210</t>
        </is>
      </c>
      <c r="F380" s="8" t="inlineStr">
        <is>
          <t>OMIM phenotype entry</t>
        </is>
      </c>
      <c r="G380" s="8" t="inlineStr">
        <is>
          <t>Secondary</t>
        </is>
      </c>
      <c r="H380" s="8" t="inlineStr">
        <is>
          <t>Neurodevelopmental ciliopathy</t>
        </is>
      </c>
      <c r="I380" s="8" t="inlineStr">
        <is>
          <t>BEAN1</t>
        </is>
      </c>
      <c r="J380" s="8" t="inlineStr">
        <is>
          <t>AD</t>
        </is>
      </c>
      <c r="K380" s="8" t="inlineStr">
        <is>
          <t>Eyes; Ears; Nervous system</t>
        </is>
      </c>
      <c r="L380" s="8" t="n">
        <v>8</v>
      </c>
      <c r="M380" s="8" t="inlineStr">
        <is>
          <t>HP:0007979; HP:0000639; HP:0001272; HP:0001260; HP:0002066; HP:0000407; HP:0001251; HP:0002070</t>
        </is>
      </c>
      <c r="N380" s="8" t="inlineStr">
        <is>
          <t>Yes</t>
        </is>
      </c>
      <c r="O380" s="8" t="n"/>
      <c r="P380" s="8" t="n"/>
    </row>
    <row r="381">
      <c r="A381" s="8" t="inlineStr">
        <is>
          <t>CILP_0380</t>
        </is>
      </c>
      <c r="B381" s="8" t="inlineStr">
        <is>
          <t>Spinocerebellar Ataxia</t>
        </is>
      </c>
      <c r="C381" s="8" t="inlineStr">
        <is>
          <t>SCA29</t>
        </is>
      </c>
      <c r="D381" s="8" t="inlineStr">
        <is>
          <t>117360</t>
        </is>
      </c>
      <c r="E381" s="8" t="inlineStr">
        <is>
          <t>OMIM:117360</t>
        </is>
      </c>
      <c r="F381" s="8" t="inlineStr">
        <is>
          <t>OMIM phenotype entry</t>
        </is>
      </c>
      <c r="G381" s="8" t="inlineStr">
        <is>
          <t>Secondary</t>
        </is>
      </c>
      <c r="H381" s="8" t="inlineStr">
        <is>
          <t>Neurodevelopmental ciliopathy</t>
        </is>
      </c>
      <c r="I381" s="8" t="inlineStr">
        <is>
          <t>ITPR1</t>
        </is>
      </c>
      <c r="J381" s="8" t="inlineStr">
        <is>
          <t>AD</t>
        </is>
      </c>
      <c r="K381" s="8" t="inlineStr">
        <is>
          <t>Abdomen; Eyes; Cardiovascular; Growth; Genitourinary; Head and neck; Limbs; Nervous system; Skeletal</t>
        </is>
      </c>
      <c r="L381" s="8" t="n">
        <v>135</v>
      </c>
      <c r="M381" s="8" t="inlineStr">
        <is>
          <t>HP:0004325; HP:0002421; HP:0000640; HP:0002540; HP:0000486; HP:0001332; HP:0000089; HP:0004322; HP:0002384; HP:0030177; HP:0001290; HP:0000639; HP:0000514; HP:0003763; HP:0000252; HP:0001583; HP:0004691; HP:0100021; HP:0011094; HP:0000805; HP:0000526; HP:0002307; HP:0007676; HP:0002423; HP:0001337; HP:0001336; HP:0001276; HP:0003698; HP:0000582; HP:0002002; HP:0001310; HP:0001272; HP:0002120; HP:0001270; HP:0034435; HP:0002080; HP:0100275; HP:0100543; HP:0000617; HP:0100704; HP:0000616; HP:0100702; HP:0009049; HP:0000218; HP:0006855; HP:0001320; HP:0002136; HP:0002015; HP:0002411; HP:0000750; HP:0001321; HP:0002376; HP:0001288; HP:0000474; HP:0004396; HP:0005484; HP:0000508; HP:0009830; HP:0007256; HP:0001319; HP:0002406; HP:0004428; HP:0002007; HP:0002403; HP:0004425; HP:0002465; HP:0002345; HP:0010529; HP:0001256; HP:0002342; HP:0000563; HP:0031629; HP:0001250; HP:0002066; HP:0001252; HP:0001251; HP:0012428; HP:0003391; HP:0033128; HP:0007366; HP:0020045; HP:0025336; HP:0007885; HP:0007369; HP:0003701; HP:0020049; HP:0001642; HP:0001249; HP:0000555; HP:0002078; HP:0030147; HP:0025335; HP:0011968; HP:0006817; HP:0001260; HP:0000570; HP:0001263; HP:0002470; HP:0002075; HP:0033257; HP:0002194; HP:0002070; HP:0002071; HP:0012896; HP:0000448; HP:0002505; HP:0000565; HP:0002346; HP:0002169; HP:0007979; HP:0007859; HP:0002442; HP:0000540; HP:0430025; HP:0001350; HP:0010862; HP:0031491; HP:0007340; HP:0000657; HP:0001627; HP:0001348; HP:0001347; HP:0002179; HP:0002059; HP:0008935; HP:0031936; HP:0002174; HP:0032988; HP:0001518; HP:0033683; HP:0001999; HP:0009878; HP:0001631; HP:0000028; HP:0000666</t>
        </is>
      </c>
      <c r="N381" s="8" t="inlineStr">
        <is>
          <t>Yes</t>
        </is>
      </c>
      <c r="O381" s="8" t="n"/>
      <c r="P381" s="8" t="n"/>
    </row>
    <row r="382">
      <c r="A382" s="8" t="inlineStr">
        <is>
          <t>CILP_0381</t>
        </is>
      </c>
      <c r="B382" s="8" t="inlineStr">
        <is>
          <t>Spinocerebellar Ataxia</t>
        </is>
      </c>
      <c r="C382" s="8" t="inlineStr">
        <is>
          <t>SCA34</t>
        </is>
      </c>
      <c r="D382" s="8" t="inlineStr">
        <is>
          <t>133190</t>
        </is>
      </c>
      <c r="E382" s="8" t="inlineStr">
        <is>
          <t>OMIM:133190</t>
        </is>
      </c>
      <c r="F382" s="8" t="inlineStr">
        <is>
          <t>OMIM phenotype entry</t>
        </is>
      </c>
      <c r="G382" s="8" t="inlineStr">
        <is>
          <t>Secondary</t>
        </is>
      </c>
      <c r="H382" s="8" t="inlineStr">
        <is>
          <t>Neurodevelopmental ciliopathy</t>
        </is>
      </c>
      <c r="I382" s="8" t="inlineStr">
        <is>
          <t>ELOVL4</t>
        </is>
      </c>
      <c r="J382" s="8" t="inlineStr">
        <is>
          <t>INCOMPLETE_PENETRANCE; AD</t>
        </is>
      </c>
      <c r="K382" s="8" t="inlineStr">
        <is>
          <t>Eyes; Immune system; Nervous system; Skeletal; Skin</t>
        </is>
      </c>
      <c r="L382" s="8" t="n">
        <v>19</v>
      </c>
      <c r="M382" s="8" t="inlineStr">
        <is>
          <t>HP:0001265; HP:0003477; HP:0001272; HP:0002120; HP:0001260; HP:0002066; HP:0001251; HP:0002075; HP:0002380; HP:0002070; HP:0002080; HP:0000639; HP:0000605; HP:0007772; HP:0007256; HP:0001019; HP:0001257; HP:0001347; HP:0000962</t>
        </is>
      </c>
      <c r="N382" s="8" t="inlineStr">
        <is>
          <t>Yes</t>
        </is>
      </c>
      <c r="O382" s="8" t="n"/>
      <c r="P382" s="8" t="n"/>
    </row>
    <row r="383">
      <c r="A383" s="8" t="inlineStr">
        <is>
          <t>CILP_0382</t>
        </is>
      </c>
      <c r="B383" s="8" t="inlineStr">
        <is>
          <t>Spinocerebellar Ataxia</t>
        </is>
      </c>
      <c r="C383" s="8" t="inlineStr">
        <is>
          <t>SCA1</t>
        </is>
      </c>
      <c r="D383" s="8" t="inlineStr">
        <is>
          <t>164400</t>
        </is>
      </c>
      <c r="E383" s="8" t="inlineStr">
        <is>
          <t>OMIM:164400</t>
        </is>
      </c>
      <c r="F383" s="8" t="inlineStr">
        <is>
          <t>OMIM phenotype entry</t>
        </is>
      </c>
      <c r="G383" s="8" t="inlineStr">
        <is>
          <t>Secondary</t>
        </is>
      </c>
      <c r="H383" s="8" t="inlineStr">
        <is>
          <t>Neurodevelopmental ciliopathy</t>
        </is>
      </c>
      <c r="I383" s="8" t="inlineStr">
        <is>
          <t>ATXN1</t>
        </is>
      </c>
      <c r="J383" s="8" t="inlineStr">
        <is>
          <t>ANTICIPATION_PATERNAL_BIAS; AD</t>
        </is>
      </c>
      <c r="K383" s="8" t="inlineStr">
        <is>
          <t>Abdomen; Eyes; Genitourinary; Nervous system; Skeletal</t>
        </is>
      </c>
      <c r="L383" s="8" t="n">
        <v>48</v>
      </c>
      <c r="M383" s="8" t="inlineStr">
        <is>
          <t>HP:0002542; HP:0003431; HP:0000640; HP:0001252; HP:0003394; HP:0002460; HP:0001290; HP:0002380; HP:0000639; HP:0000514; HP:0007006; HP:0001324; HP:0003701; HP:0007328; HP:0003202; HP:0003401; HP:0002078; HP:0003487; HP:0006937; HP:0002198; HP:0001260; HP:0002075; HP:0002072; HP:0002073; HP:0002070; HP:0002071; HP:0010831; HP:0007078; HP:0000648; HP:0000641; HP:0001257; HP:0002503; HP:0002168; HP:0001310; HP:0003693; HP:0001151; HP:0100543; HP:0007263; HP:0002839; HP:0003448; HP:0001347; HP:0002015; HP:0001283; HP:0002495; HP:0001284; HP:0009830; HP:0000623; HP:0000543</t>
        </is>
      </c>
      <c r="N383" s="8" t="inlineStr">
        <is>
          <t>Yes</t>
        </is>
      </c>
      <c r="O383" s="8" t="n"/>
      <c r="P383" s="8" t="n"/>
    </row>
    <row r="384">
      <c r="A384" s="8" t="inlineStr">
        <is>
          <t>CILP_0383</t>
        </is>
      </c>
      <c r="B384" s="8" t="inlineStr">
        <is>
          <t>Spinocerebellar Ataxia</t>
        </is>
      </c>
      <c r="C384" s="8" t="inlineStr">
        <is>
          <t>SCA7</t>
        </is>
      </c>
      <c r="D384" s="8" t="inlineStr">
        <is>
          <t>164500</t>
        </is>
      </c>
      <c r="E384" s="8" t="inlineStr">
        <is>
          <t>OMIM:164500</t>
        </is>
      </c>
      <c r="F384" s="8" t="inlineStr">
        <is>
          <t>OMIM phenotype entry</t>
        </is>
      </c>
      <c r="G384" s="8" t="inlineStr">
        <is>
          <t>Secondary</t>
        </is>
      </c>
      <c r="H384" s="8" t="inlineStr">
        <is>
          <t>Neurodevelopmental ciliopathy</t>
        </is>
      </c>
      <c r="I384" s="8" t="inlineStr">
        <is>
          <t>ATXN7</t>
        </is>
      </c>
      <c r="J384" s="8" t="inlineStr">
        <is>
          <t>AD; ANTICIPATION_PATERNAL_BIAS</t>
        </is>
      </c>
      <c r="K384" s="8" t="inlineStr">
        <is>
          <t>Abdomen; Eyes; Nervous system; Skeletal</t>
        </is>
      </c>
      <c r="L384" s="8" t="n">
        <v>20</v>
      </c>
      <c r="M384" s="8" t="inlineStr">
        <is>
          <t>HP:0002542; HP:0002015; HP:0001310; HP:0002310; HP:0003487; HP:0001260; HP:0000580; HP:0002072; HP:0002073; HP:0002071; HP:0000529; HP:0000639; HP:0000608; HP:0000514; HP:0000623; HP:0000648; HP:0001257; HP:0001268; HP:0001337; HP:0001347</t>
        </is>
      </c>
      <c r="N384" s="8" t="inlineStr">
        <is>
          <t>Yes</t>
        </is>
      </c>
      <c r="O384" s="8" t="n"/>
      <c r="P384" s="8" t="n"/>
    </row>
    <row r="385">
      <c r="A385" s="8" t="inlineStr">
        <is>
          <t>CILP_0384</t>
        </is>
      </c>
      <c r="B385" s="8" t="inlineStr">
        <is>
          <t>Spinocerebellar Ataxia</t>
        </is>
      </c>
      <c r="C385" s="8" t="inlineStr">
        <is>
          <t>SCA6</t>
        </is>
      </c>
      <c r="D385" s="8" t="inlineStr">
        <is>
          <t>183086</t>
        </is>
      </c>
      <c r="E385" s="8" t="inlineStr">
        <is>
          <t>OMIM:183086</t>
        </is>
      </c>
      <c r="F385" s="8" t="inlineStr">
        <is>
          <t>OMIM phenotype entry</t>
        </is>
      </c>
      <c r="G385" s="8" t="inlineStr">
        <is>
          <t>Secondary</t>
        </is>
      </c>
      <c r="H385" s="8" t="inlineStr">
        <is>
          <t>Neurodevelopmental ciliopathy</t>
        </is>
      </c>
      <c r="I385" s="8" t="inlineStr">
        <is>
          <t>CACNA1A</t>
        </is>
      </c>
      <c r="J385" s="8" t="inlineStr">
        <is>
          <t>ANTICIPATION; AD</t>
        </is>
      </c>
      <c r="K385" s="8" t="inlineStr">
        <is>
          <t>Abdomen; Eyes; Ears; Nervous system; Skeletal</t>
        </is>
      </c>
      <c r="L385" s="8" t="n">
        <v>21</v>
      </c>
      <c r="M385" s="8" t="inlineStr">
        <is>
          <t>HP:0007979; HP:0001310; HP:0002321; HP:0001272; HP:0002120; HP:0001251; HP:0001350; HP:0002083; HP:0002080; HP:0000639; HP:0002359; HP:0002017; HP:0002311; HP:0002015; HP:0002078; HP:0001260; HP:0002073; HP:0007670; HP:0007772; HP:0002505; HP:0000763</t>
        </is>
      </c>
      <c r="N385" s="8" t="inlineStr">
        <is>
          <t>Yes</t>
        </is>
      </c>
      <c r="O385" s="8" t="n"/>
      <c r="P385" s="8" t="n"/>
    </row>
    <row r="386">
      <c r="A386" s="8" t="inlineStr">
        <is>
          <t>CILP_0385</t>
        </is>
      </c>
      <c r="B386" s="8" t="inlineStr">
        <is>
          <t>Spinocerebellar Ataxia</t>
        </is>
      </c>
      <c r="C386" s="8" t="inlineStr">
        <is>
          <t>SCA2</t>
        </is>
      </c>
      <c r="D386" s="8" t="inlineStr">
        <is>
          <t>183090</t>
        </is>
      </c>
      <c r="E386" s="8" t="inlineStr">
        <is>
          <t>OMIM:183090</t>
        </is>
      </c>
      <c r="F386" s="8" t="inlineStr">
        <is>
          <t>OMIM phenotype entry</t>
        </is>
      </c>
      <c r="G386" s="8" t="inlineStr">
        <is>
          <t>Secondary</t>
        </is>
      </c>
      <c r="H386" s="8" t="inlineStr">
        <is>
          <t>Neurodevelopmental ciliopathy</t>
        </is>
      </c>
      <c r="I386" s="8" t="inlineStr">
        <is>
          <t>ATXN2</t>
        </is>
      </c>
      <c r="J386" s="8" t="inlineStr">
        <is>
          <t>ANTICIPATION; AD</t>
        </is>
      </c>
      <c r="K386" s="8" t="inlineStr">
        <is>
          <t>Abdomen; Eyes; Genitourinary; Nervous system; Skeletal</t>
        </is>
      </c>
      <c r="L386" s="8" t="n">
        <v>37</v>
      </c>
      <c r="M386" s="8" t="inlineStr">
        <is>
          <t>HP:0002542; HP:0002345; HP:0000640; HP:0002067; HP:0001310; HP:0001151; HP:0003693; HP:0001272; HP:0000020; HP:0002063; HP:0001252; HP:0001251; HP:0001290; HP:0002380; HP:0002839; HP:0000514; HP:0000657; HP:0002317; HP:0000510; HP:0001265; HP:0002015; HP:0001300; HP:0003487; HP:0002495; HP:0001260; HP:0002198; HP:0002174; HP:0002075; HP:0002073; HP:0002172; HP:0002070; HP:0000726; HP:0000602; HP:0002503; HP:0001257; HP:0000641; HP:0001336</t>
        </is>
      </c>
      <c r="N386" s="8" t="inlineStr">
        <is>
          <t>Yes</t>
        </is>
      </c>
      <c r="O386" s="8" t="n"/>
      <c r="P386" s="8" t="n"/>
    </row>
    <row r="387">
      <c r="A387" s="8" t="inlineStr">
        <is>
          <t>CILP_0386</t>
        </is>
      </c>
      <c r="B387" s="8" t="inlineStr">
        <is>
          <t>Spinocerebellar Ataxia</t>
        </is>
      </c>
      <c r="C387" s="8" t="inlineStr">
        <is>
          <t>SCA5</t>
        </is>
      </c>
      <c r="D387" s="8" t="inlineStr">
        <is>
          <t>600224</t>
        </is>
      </c>
      <c r="E387" s="8" t="inlineStr">
        <is>
          <t>OMIM:600224</t>
        </is>
      </c>
      <c r="F387" s="8" t="inlineStr">
        <is>
          <t>OMIM phenotype entry</t>
        </is>
      </c>
      <c r="G387" s="8" t="inlineStr">
        <is>
          <t>Secondary</t>
        </is>
      </c>
      <c r="H387" s="8" t="inlineStr">
        <is>
          <t>Neurodevelopmental ciliopathy</t>
        </is>
      </c>
      <c r="I387" s="8" t="inlineStr">
        <is>
          <t>SPTBN2</t>
        </is>
      </c>
      <c r="J387" s="8" t="inlineStr">
        <is>
          <t>AD</t>
        </is>
      </c>
      <c r="K387" s="8" t="inlineStr">
        <is>
          <t>Eyes; Head and neck; Limbs; Nervous system; Skeletal</t>
        </is>
      </c>
      <c r="L387" s="8" t="n">
        <v>25</v>
      </c>
      <c r="M387" s="8" t="inlineStr">
        <is>
          <t>HP:0002421; HP:0000640; HP:0000486; HP:0001310; HP:0001272; HP:0002066; HP:0001252; HP:0001251; HP:0002080; HP:0100543; HP:0007286; HP:0000317; HP:0001347; HP:0002311; HP:0002136; HP:0001583; HP:0001321; HP:0001260; HP:0002495; HP:0001263; HP:0002075; HP:0002493; HP:0002070; HP:0011448; HP:0007772</t>
        </is>
      </c>
      <c r="N387" s="8" t="inlineStr">
        <is>
          <t>Yes</t>
        </is>
      </c>
      <c r="O387" s="8" t="n"/>
      <c r="P387" s="8" t="n"/>
    </row>
    <row r="388">
      <c r="A388" s="8" t="inlineStr">
        <is>
          <t>CILP_0387</t>
        </is>
      </c>
      <c r="B388" s="8" t="inlineStr">
        <is>
          <t>Spinocerebellar Ataxia</t>
        </is>
      </c>
      <c r="C388" s="8" t="inlineStr">
        <is>
          <t>SCA10</t>
        </is>
      </c>
      <c r="D388" s="8" t="inlineStr">
        <is>
          <t>603516</t>
        </is>
      </c>
      <c r="E388" s="8" t="inlineStr">
        <is>
          <t>OMIM:603516</t>
        </is>
      </c>
      <c r="F388" s="8" t="inlineStr">
        <is>
          <t>OMIM phenotype entry</t>
        </is>
      </c>
      <c r="G388" s="8" t="inlineStr">
        <is>
          <t>Secondary</t>
        </is>
      </c>
      <c r="H388" s="8" t="inlineStr">
        <is>
          <t>Neurodevelopmental ciliopathy</t>
        </is>
      </c>
      <c r="I388" s="8" t="inlineStr">
        <is>
          <t>ATXN10</t>
        </is>
      </c>
      <c r="J388" s="8" t="inlineStr">
        <is>
          <t>INCOMPLETE_PENETRANCE; ANTICIPATION; AD</t>
        </is>
      </c>
      <c r="K388" s="8" t="inlineStr">
        <is>
          <t>Abdomen; Eyes; Genitourinary; Limbs; Nervous system</t>
        </is>
      </c>
      <c r="L388" s="8" t="n">
        <v>27</v>
      </c>
      <c r="M388" s="8" t="inlineStr">
        <is>
          <t>HP:0002168; HP:0002067; HP:0001310; HP:0001250; HP:0001272; HP:0001271; HP:0002066; HP:0000020; HP:0002062; HP:0000639; HP:0000716; HP:0007289; HP:0002936; HP:0001347; HP:0002311; HP:0002015; HP:0000012; HP:0003487; HP:0001260; HP:0002075; HP:0002073; HP:0002070; HP:0002071; HP:0000726; HP:0007772; HP:0007256; HP:0000762</t>
        </is>
      </c>
      <c r="N388" s="8" t="inlineStr">
        <is>
          <t>Yes</t>
        </is>
      </c>
      <c r="O388" s="8" t="n"/>
      <c r="P388" s="8" t="n"/>
    </row>
    <row r="389">
      <c r="A389" s="8" t="inlineStr">
        <is>
          <t>CILP_0388</t>
        </is>
      </c>
      <c r="B389" s="8" t="inlineStr">
        <is>
          <t>Spinocerebellar Ataxia</t>
        </is>
      </c>
      <c r="C389" s="8" t="inlineStr">
        <is>
          <t>SCA12</t>
        </is>
      </c>
      <c r="D389" s="8" t="inlineStr">
        <is>
          <t>604326</t>
        </is>
      </c>
      <c r="E389" s="8" t="inlineStr">
        <is>
          <t>OMIM:604326</t>
        </is>
      </c>
      <c r="F389" s="8" t="inlineStr">
        <is>
          <t>OMIM phenotype entry</t>
        </is>
      </c>
      <c r="G389" s="8" t="inlineStr">
        <is>
          <t>Secondary</t>
        </is>
      </c>
      <c r="H389" s="8" t="inlineStr">
        <is>
          <t>Neurodevelopmental ciliopathy</t>
        </is>
      </c>
      <c r="I389" s="8" t="inlineStr">
        <is>
          <t>PPP2R2B</t>
        </is>
      </c>
      <c r="J389" s="8" t="inlineStr">
        <is>
          <t>AD</t>
        </is>
      </c>
      <c r="K389" s="8" t="inlineStr">
        <is>
          <t>Eyes; Head and neck; Nervous system; Skeletal</t>
        </is>
      </c>
      <c r="L389" s="8" t="n">
        <v>18</v>
      </c>
      <c r="M389" s="8" t="inlineStr">
        <is>
          <t>HP:0002345; HP:0001300; HP:0000496; HP:0001310; HP:0002530; HP:0001272; HP:0002120; HP:0001260; HP:0002075; HP:0002073; HP:0000716; HP:0007141; HP:0000726; HP:0000739; HP:0000317; HP:0000746; HP:0002346; HP:0001347</t>
        </is>
      </c>
      <c r="N389" s="8" t="inlineStr">
        <is>
          <t>Yes</t>
        </is>
      </c>
      <c r="O389" s="8" t="n"/>
      <c r="P389" s="8" t="n"/>
    </row>
    <row r="390">
      <c r="A390" s="8" t="inlineStr">
        <is>
          <t>CILP_0389</t>
        </is>
      </c>
      <c r="B390" s="8" t="inlineStr">
        <is>
          <t>Spinocerebellar Ataxia</t>
        </is>
      </c>
      <c r="C390" s="8" t="inlineStr">
        <is>
          <t>SCA11</t>
        </is>
      </c>
      <c r="D390" s="8" t="inlineStr">
        <is>
          <t>604432</t>
        </is>
      </c>
      <c r="E390" s="8" t="inlineStr">
        <is>
          <t>OMIM:604432</t>
        </is>
      </c>
      <c r="F390" s="8" t="inlineStr">
        <is>
          <t>OMIM phenotype entry</t>
        </is>
      </c>
      <c r="G390" s="8" t="inlineStr">
        <is>
          <t>Secondary</t>
        </is>
      </c>
      <c r="H390" s="8" t="inlineStr">
        <is>
          <t>Neurodevelopmental ciliopathy</t>
        </is>
      </c>
      <c r="I390" s="8" t="inlineStr">
        <is>
          <t>TTBK2</t>
        </is>
      </c>
      <c r="J390" s="8" t="inlineStr">
        <is>
          <t>AD</t>
        </is>
      </c>
      <c r="K390" s="8" t="inlineStr">
        <is>
          <t>Eyes; Nervous system</t>
        </is>
      </c>
      <c r="L390" s="8" t="n">
        <v>10</v>
      </c>
      <c r="M390" s="8" t="inlineStr">
        <is>
          <t>HP:0002078; HP:0001272; HP:0001260; HP:0002066; HP:0002141; HP:0002073; HP:0002070; HP:0000639; HP:0008003; HP:0001347</t>
        </is>
      </c>
      <c r="N390" s="8" t="inlineStr">
        <is>
          <t>Yes</t>
        </is>
      </c>
      <c r="O390" s="8" t="n"/>
      <c r="P390" s="8" t="n"/>
    </row>
    <row r="391">
      <c r="A391" s="8" t="inlineStr">
        <is>
          <t>CILP_0390</t>
        </is>
      </c>
      <c r="B391" s="8" t="inlineStr">
        <is>
          <t>Spinocerebellar Ataxia</t>
        </is>
      </c>
      <c r="C391" s="8" t="inlineStr">
        <is>
          <t>SCA13</t>
        </is>
      </c>
      <c r="D391" s="8" t="inlineStr">
        <is>
          <t>605259</t>
        </is>
      </c>
      <c r="E391" s="8" t="inlineStr">
        <is>
          <t>OMIM:605259</t>
        </is>
      </c>
      <c r="F391" s="8" t="inlineStr">
        <is>
          <t>OMIM phenotype entry</t>
        </is>
      </c>
      <c r="G391" s="8" t="inlineStr">
        <is>
          <t>Secondary</t>
        </is>
      </c>
      <c r="H391" s="8" t="inlineStr">
        <is>
          <t>Neurodevelopmental ciliopathy</t>
        </is>
      </c>
      <c r="I391" s="8" t="inlineStr">
        <is>
          <t>KCNC3</t>
        </is>
      </c>
      <c r="J391" s="8" t="inlineStr">
        <is>
          <t>AD</t>
        </is>
      </c>
      <c r="K391" s="8" t="inlineStr">
        <is>
          <t>Eyes; Ears; Nervous system; Skeletal</t>
        </is>
      </c>
      <c r="L391" s="8" t="n">
        <v>20</v>
      </c>
      <c r="M391" s="8" t="inlineStr">
        <is>
          <t>HP:0000365; HP:0001272; HP:0001260; HP:0002066; HP:0001252; HP:0002062; HP:0002073; HP:0001270; HP:0002070; HP:0100543; HP:0000639; HP:0008003; HP:0007256; HP:0000648; HP:0002406; HP:0006886; HP:0001257; HP:0001249; HP:0001347; HP:0001336</t>
        </is>
      </c>
      <c r="N391" s="8" t="inlineStr">
        <is>
          <t>Yes</t>
        </is>
      </c>
      <c r="O391" s="8" t="n"/>
      <c r="P391" s="8" t="n"/>
    </row>
    <row r="392">
      <c r="A392" s="8" t="inlineStr">
        <is>
          <t>CILP_0391</t>
        </is>
      </c>
      <c r="B392" s="8" t="inlineStr">
        <is>
          <t>Spinocerebellar Ataxia</t>
        </is>
      </c>
      <c r="C392" s="8" t="inlineStr">
        <is>
          <t>SCA14</t>
        </is>
      </c>
      <c r="D392" s="8" t="inlineStr">
        <is>
          <t>605361</t>
        </is>
      </c>
      <c r="E392" s="8" t="inlineStr">
        <is>
          <t>OMIM:605361</t>
        </is>
      </c>
      <c r="F392" s="8" t="inlineStr">
        <is>
          <t>OMIM phenotype entry</t>
        </is>
      </c>
      <c r="G392" s="8" t="inlineStr">
        <is>
          <t>Secondary</t>
        </is>
      </c>
      <c r="H392" s="8" t="inlineStr">
        <is>
          <t>Neurodevelopmental ciliopathy</t>
        </is>
      </c>
      <c r="I392" s="8" t="inlineStr">
        <is>
          <t>PRKCG</t>
        </is>
      </c>
      <c r="J392" s="8" t="inlineStr">
        <is>
          <t>INCOMPLETE_PENETRANCE; AD</t>
        </is>
      </c>
      <c r="K392" s="8" t="inlineStr">
        <is>
          <t>Abdomen; Eyes; Head and neck; Nervous system; Skeletal</t>
        </is>
      </c>
      <c r="L392" s="8" t="n">
        <v>15</v>
      </c>
      <c r="M392" s="8" t="inlineStr">
        <is>
          <t>HP:0002015; HP:0001310; HP:0002354; HP:0001272; HP:0001260; HP:0002066; HP:0006938; HP:0004373; HP:0002073; HP:0000639; HP:0000716; HP:0000317; HP:0001268; HP:0007018; HP:0001347</t>
        </is>
      </c>
      <c r="N392" s="8" t="inlineStr">
        <is>
          <t>Yes</t>
        </is>
      </c>
      <c r="O392" s="8" t="n"/>
      <c r="P392" s="8" t="n"/>
    </row>
    <row r="393">
      <c r="A393" s="8" t="inlineStr">
        <is>
          <t>CILP_0392</t>
        </is>
      </c>
      <c r="B393" s="8" t="inlineStr">
        <is>
          <t>Spinocerebellar Ataxia</t>
        </is>
      </c>
      <c r="C393" s="8" t="inlineStr">
        <is>
          <t>SCAN2</t>
        </is>
      </c>
      <c r="D393" s="8" t="inlineStr">
        <is>
          <t>606002</t>
        </is>
      </c>
      <c r="E393" s="8" t="inlineStr">
        <is>
          <t>OMIM:606002</t>
        </is>
      </c>
      <c r="F393" s="8" t="inlineStr">
        <is>
          <t>OMIM phenotype entry</t>
        </is>
      </c>
      <c r="G393" s="8" t="inlineStr">
        <is>
          <t>Secondary</t>
        </is>
      </c>
      <c r="H393" s="8" t="inlineStr">
        <is>
          <t>Neurodevelopmental ciliopathy</t>
        </is>
      </c>
      <c r="I393" s="8" t="inlineStr">
        <is>
          <t>Setx</t>
        </is>
      </c>
      <c r="J393" s="8" t="inlineStr">
        <is>
          <t>AR</t>
        </is>
      </c>
      <c r="K393" s="8" t="inlineStr">
        <is>
          <t>Abdomen; Eyes; Cardiovascular; Immune system; Head and neck; Limbs; Nervous system; Metabolism; Skeletal; Skin</t>
        </is>
      </c>
      <c r="L393" s="8" t="n">
        <v>35</v>
      </c>
      <c r="M393" s="8" t="inlineStr">
        <is>
          <t>HP:0003477; HP:0003236; HP:0000486; HP:0000640; HP:0003431; HP:0001332; HP:0003693; HP:0001272; HP:0002066; HP:0001271; HP:0001152; HP:0002460; HP:0010702; HP:0000639; HP:0007240; HP:0000657; HP:0006254; HP:0007267; HP:0001265; HP:0002015; HP:0006879; HP:0002650; HP:0001761; HP:0006937; HP:0001260; HP:0001284; HP:0002072; HP:0002070; HP:0010831; HP:0000524; HP:0007256; HP:0006886; HP:0001337; HP:0001315; HP:0002346</t>
        </is>
      </c>
      <c r="N393" s="8" t="inlineStr">
        <is>
          <t>Yes</t>
        </is>
      </c>
      <c r="O393" s="8" t="n"/>
      <c r="P393" s="8" t="n"/>
    </row>
    <row r="394">
      <c r="A394" s="8" t="inlineStr">
        <is>
          <t>CILP_0393</t>
        </is>
      </c>
      <c r="B394" s="8" t="inlineStr">
        <is>
          <t>Spinocerebellar Ataxia</t>
        </is>
      </c>
      <c r="C394" s="8" t="inlineStr">
        <is>
          <t>SCA15</t>
        </is>
      </c>
      <c r="D394" s="8" t="inlineStr">
        <is>
          <t>606658</t>
        </is>
      </c>
      <c r="E394" s="8" t="inlineStr">
        <is>
          <t>OMIM:606658</t>
        </is>
      </c>
      <c r="F394" s="8" t="inlineStr">
        <is>
          <t>OMIM phenotype entry</t>
        </is>
      </c>
      <c r="G394" s="8" t="inlineStr">
        <is>
          <t>Secondary</t>
        </is>
      </c>
      <c r="H394" s="8" t="inlineStr">
        <is>
          <t>Neurodevelopmental ciliopathy</t>
        </is>
      </c>
      <c r="I394" s="8" t="inlineStr">
        <is>
          <t>ITPR1</t>
        </is>
      </c>
      <c r="J394" s="8" t="inlineStr">
        <is>
          <t>AD</t>
        </is>
      </c>
      <c r="K394" s="8" t="inlineStr">
        <is>
          <t>Abdomen; Eyes; Nervous system; Skeletal</t>
        </is>
      </c>
      <c r="L394" s="8" t="n">
        <v>32</v>
      </c>
      <c r="M394" s="8" t="inlineStr">
        <is>
          <t>HP:0002168; HP:0002345; HP:0007979; HP:0000640; HP:0001272; HP:0031629; HP:0002066; HP:0002080; HP:0000639; HP:0008278; HP:0001249; HP:0006855; HP:0001347; HP:0002136; HP:0002015; HP:0000571; HP:0002078; HP:0003487; HP:0001288; HP:0001260; HP:0002174; HP:0002072; HP:0100021; HP:0002070; HP:0012758; HP:0100660; HP:0007772; HP:0002406; HP:0000641; HP:0001257; HP:0007338; HP:0001337</t>
        </is>
      </c>
      <c r="N394" s="8" t="inlineStr">
        <is>
          <t>Yes</t>
        </is>
      </c>
      <c r="O394" s="8" t="n"/>
      <c r="P394" s="8" t="n"/>
    </row>
    <row r="395">
      <c r="A395" s="8" t="inlineStr">
        <is>
          <t>CILP_0394</t>
        </is>
      </c>
      <c r="B395" s="8" t="inlineStr">
        <is>
          <t>Spinocerebellar Ataxia</t>
        </is>
      </c>
      <c r="C395" s="8" t="inlineStr">
        <is>
          <t>SCA17</t>
        </is>
      </c>
      <c r="D395" s="8" t="inlineStr">
        <is>
          <t>607136</t>
        </is>
      </c>
      <c r="E395" s="8" t="inlineStr">
        <is>
          <t>OMIM:607136</t>
        </is>
      </c>
      <c r="F395" s="8" t="inlineStr">
        <is>
          <t>OMIM phenotype entry</t>
        </is>
      </c>
      <c r="G395" s="8" t="inlineStr">
        <is>
          <t>Secondary</t>
        </is>
      </c>
      <c r="H395" s="8" t="inlineStr">
        <is>
          <t>Neurodevelopmental ciliopathy</t>
        </is>
      </c>
      <c r="I395" s="8" t="inlineStr">
        <is>
          <t>TBP</t>
        </is>
      </c>
      <c r="J395" s="8" t="inlineStr">
        <is>
          <t>AD</t>
        </is>
      </c>
      <c r="K395" s="8" t="inlineStr">
        <is>
          <t>Abdomen; Eyes; Genitourinary; Nervous system; Skeletal</t>
        </is>
      </c>
      <c r="L395" s="8" t="n">
        <v>34</v>
      </c>
      <c r="M395" s="8" t="inlineStr">
        <is>
          <t>HP:0002300; HP:0002067; HP:0000640; HP:0001310; HP:0001332; HP:0002186; HP:0001272; HP:0001250; HP:0002066; HP:0002063; HP:0000020; HP:0001251; HP:0011999; HP:0002080; HP:0000716; HP:0000738; HP:0000718; HP:0000757; HP:0007668; HP:0002136; HP:0002015; HP:0001289; HP:0001300; HP:0001260; HP:0002072; HP:0002171; HP:0002070; HP:0000727; HP:0000726; HP:0002506; HP:0002529; HP:0002403; HP:0000743; HP:0001336</t>
        </is>
      </c>
      <c r="N395" s="8" t="inlineStr">
        <is>
          <t>Yes</t>
        </is>
      </c>
      <c r="O395" s="8" t="n"/>
      <c r="P395" s="8" t="n"/>
    </row>
    <row r="396">
      <c r="A396" s="8" t="inlineStr">
        <is>
          <t>CILP_0395</t>
        </is>
      </c>
      <c r="B396" s="8" t="inlineStr">
        <is>
          <t>Spinocerebellar Ataxia</t>
        </is>
      </c>
      <c r="C396" s="8" t="inlineStr">
        <is>
          <t>SCAN1</t>
        </is>
      </c>
      <c r="D396" s="8" t="inlineStr">
        <is>
          <t>607250</t>
        </is>
      </c>
      <c r="E396" s="8" t="inlineStr">
        <is>
          <t>OMIM:607250</t>
        </is>
      </c>
      <c r="F396" s="8" t="inlineStr">
        <is>
          <t>OMIM phenotype entry</t>
        </is>
      </c>
      <c r="G396" s="8" t="inlineStr">
        <is>
          <t>Secondary</t>
        </is>
      </c>
      <c r="H396" s="8" t="inlineStr">
        <is>
          <t>Neurodevelopmental ciliopathy</t>
        </is>
      </c>
      <c r="I396" s="8" t="inlineStr">
        <is>
          <t>TDP1</t>
        </is>
      </c>
      <c r="J396" s="8" t="inlineStr">
        <is>
          <t>AR</t>
        </is>
      </c>
      <c r="K396" s="8" t="inlineStr">
        <is>
          <t>Limbs; Nervous system; Metabolism; Skeletal</t>
        </is>
      </c>
      <c r="L396" s="8" t="n">
        <v>19</v>
      </c>
      <c r="M396" s="8" t="inlineStr">
        <is>
          <t>HP:0003477; HP:0002059; HP:0003431; HP:0006858; HP:0003376; HP:0003124; HP:0001761; HP:0001272; HP:0003693; HP:0001250; HP:0001260; HP:0002495; HP:0001284; HP:0001251; HP:0003073; HP:0003380; HP:0002936; HP:0000763; HP:0001249</t>
        </is>
      </c>
      <c r="N396" s="8" t="inlineStr">
        <is>
          <t>Yes</t>
        </is>
      </c>
      <c r="O396" s="8" t="n"/>
      <c r="P396" s="8" t="n"/>
    </row>
    <row r="397">
      <c r="A397" s="8" t="inlineStr">
        <is>
          <t>CILP_0396</t>
        </is>
      </c>
      <c r="B397" s="8" t="inlineStr">
        <is>
          <t>Spinocerebellar Ataxia</t>
        </is>
      </c>
      <c r="C397" s="8" t="inlineStr">
        <is>
          <t>SCA19</t>
        </is>
      </c>
      <c r="D397" s="8" t="inlineStr">
        <is>
          <t>607346</t>
        </is>
      </c>
      <c r="E397" s="8" t="inlineStr">
        <is>
          <t>OMIM:607346</t>
        </is>
      </c>
      <c r="F397" s="8" t="inlineStr">
        <is>
          <t>OMIM phenotype entry</t>
        </is>
      </c>
      <c r="G397" s="8" t="inlineStr">
        <is>
          <t>Secondary</t>
        </is>
      </c>
      <c r="H397" s="8" t="inlineStr">
        <is>
          <t>Neurodevelopmental ciliopathy</t>
        </is>
      </c>
      <c r="I397" s="8" t="inlineStr">
        <is>
          <t>KCND3</t>
        </is>
      </c>
      <c r="J397" s="8" t="inlineStr">
        <is>
          <t>AD</t>
        </is>
      </c>
      <c r="K397" s="8" t="inlineStr">
        <is>
          <t>Abdomen; Eyes; Nervous system; Skeletal</t>
        </is>
      </c>
      <c r="L397" s="8" t="n">
        <v>17</v>
      </c>
      <c r="M397" s="8" t="inlineStr">
        <is>
          <t>HP:0001265; HP:0002015; HP:0007979; HP:0002078; HP:0001272; HP:0002396; HP:0001260; HP:0002066; HP:0002174; HP:0001152; HP:0002073; HP:0002070; HP:0100543; HP:0000639; HP:0001347; HP:0007944; HP:0001336</t>
        </is>
      </c>
      <c r="N397" s="8" t="inlineStr">
        <is>
          <t>Yes</t>
        </is>
      </c>
      <c r="O397" s="8" t="n"/>
      <c r="P397" s="8" t="n"/>
    </row>
    <row r="398">
      <c r="A398" s="8" t="inlineStr">
        <is>
          <t>CILP_0397</t>
        </is>
      </c>
      <c r="B398" s="8" t="inlineStr">
        <is>
          <t>Spinocerebellar Ataxia</t>
        </is>
      </c>
      <c r="C398" s="8" t="inlineStr">
        <is>
          <t>SCA21</t>
        </is>
      </c>
      <c r="D398" s="8" t="inlineStr">
        <is>
          <t>607454</t>
        </is>
      </c>
      <c r="E398" s="8" t="inlineStr">
        <is>
          <t>OMIM:607454</t>
        </is>
      </c>
      <c r="F398" s="8" t="inlineStr">
        <is>
          <t>OMIM phenotype entry</t>
        </is>
      </c>
      <c r="G398" s="8" t="inlineStr">
        <is>
          <t>Secondary</t>
        </is>
      </c>
      <c r="H398" s="8" t="inlineStr">
        <is>
          <t>Neurodevelopmental ciliopathy</t>
        </is>
      </c>
      <c r="I398" s="8" t="inlineStr">
        <is>
          <t>TMEM240</t>
        </is>
      </c>
      <c r="J398" s="8" t="inlineStr">
        <is>
          <t>AD</t>
        </is>
      </c>
      <c r="K398" s="8" t="inlineStr">
        <is>
          <t>Eyes; Nervous system; Skeletal</t>
        </is>
      </c>
      <c r="L398" s="8" t="n">
        <v>30</v>
      </c>
      <c r="M398" s="8" t="inlineStr">
        <is>
          <t>HP:0002168; HP:0000486; HP:0002188; HP:0001332; HP:0001272; HP:0002066; HP:0001251; HP:0010543; HP:0010526; HP:0002080; HP:0100543; HP:0000639; HP:0000718; HP:0000514; HP:0001268; HP:0001249; HP:0001265; HP:0001300; HP:0002396; HP:0001260; HP:0001263; HP:0002174; HP:0002073; HP:0002070; HP:0002071; HP:0100710; HP:0007792; HP:0002304; HP:0000741; HP:0007338</t>
        </is>
      </c>
      <c r="N398" s="8" t="inlineStr">
        <is>
          <t>Yes</t>
        </is>
      </c>
      <c r="O398" s="8" t="n"/>
      <c r="P398" s="8" t="n"/>
    </row>
    <row r="399">
      <c r="A399" s="8" t="inlineStr">
        <is>
          <t>CILP_0398</t>
        </is>
      </c>
      <c r="B399" s="8" t="inlineStr">
        <is>
          <t>Spinocerebellar Ataxia</t>
        </is>
      </c>
      <c r="C399" s="8" t="inlineStr">
        <is>
          <t>SCA8</t>
        </is>
      </c>
      <c r="D399" s="8" t="inlineStr">
        <is>
          <t>608768</t>
        </is>
      </c>
      <c r="E399" s="8" t="inlineStr">
        <is>
          <t>OMIM:608768</t>
        </is>
      </c>
      <c r="F399" s="8" t="inlineStr">
        <is>
          <t>OMIM phenotype entry</t>
        </is>
      </c>
      <c r="G399" s="8" t="inlineStr">
        <is>
          <t>Secondary</t>
        </is>
      </c>
      <c r="H399" s="8" t="inlineStr">
        <is>
          <t>Neurodevelopmental ciliopathy</t>
        </is>
      </c>
      <c r="I399" s="8" t="inlineStr">
        <is>
          <t>ATXN8</t>
        </is>
      </c>
      <c r="J399" s="8" t="inlineStr">
        <is>
          <t>AD</t>
        </is>
      </c>
      <c r="K399" s="8" t="inlineStr">
        <is>
          <t>Abdomen; Eyes; Nervous system; Skeletal</t>
        </is>
      </c>
      <c r="L399" s="8" t="n">
        <v>15</v>
      </c>
      <c r="M399" s="8" t="inlineStr">
        <is>
          <t>HP:0002311; HP:0002015; HP:0001272; HP:0001260; HP:0002062; HP:0002073; HP:0000639; HP:0000514; HP:0007772; HP:0009830; HP:0007256; HP:0000763; HP:0000641; HP:0001257; HP:0001337</t>
        </is>
      </c>
      <c r="N399" s="8" t="inlineStr">
        <is>
          <t>Yes</t>
        </is>
      </c>
      <c r="O399" s="8" t="n"/>
      <c r="P399" s="8" t="n"/>
    </row>
    <row r="400">
      <c r="A400" s="8" t="inlineStr">
        <is>
          <t>CILP_0399</t>
        </is>
      </c>
      <c r="B400" s="8" t="inlineStr">
        <is>
          <t>Spinocerebellar Ataxia</t>
        </is>
      </c>
      <c r="C400" s="8" t="inlineStr">
        <is>
          <t>SCA26</t>
        </is>
      </c>
      <c r="D400" s="8" t="inlineStr">
        <is>
          <t>609306</t>
        </is>
      </c>
      <c r="E400" s="8" t="inlineStr">
        <is>
          <t>OMIM:609306</t>
        </is>
      </c>
      <c r="F400" s="8" t="inlineStr">
        <is>
          <t>OMIM phenotype entry</t>
        </is>
      </c>
      <c r="G400" s="8" t="inlineStr">
        <is>
          <t>Secondary</t>
        </is>
      </c>
      <c r="H400" s="8" t="inlineStr">
        <is>
          <t>Neurodevelopmental ciliopathy</t>
        </is>
      </c>
      <c r="I400" s="8" t="inlineStr">
        <is>
          <t>eEF2</t>
        </is>
      </c>
      <c r="J400" s="8" t="inlineStr">
        <is>
          <t>AD</t>
        </is>
      </c>
      <c r="K400" s="8" t="inlineStr">
        <is>
          <t>Eyes; Nervous system</t>
        </is>
      </c>
      <c r="L400" s="8" t="n">
        <v>9</v>
      </c>
      <c r="M400" s="8" t="inlineStr">
        <is>
          <t>HP:0002311; HP:0002078; HP:0000639; HP:0001151; HP:0001272; HP:0001260; HP:0002066; HP:0002070; HP:0000641</t>
        </is>
      </c>
      <c r="N400" s="8" t="inlineStr">
        <is>
          <t>Yes</t>
        </is>
      </c>
      <c r="O400" s="8" t="n"/>
      <c r="P400" s="8" t="n"/>
    </row>
    <row r="401">
      <c r="A401" s="8" t="inlineStr">
        <is>
          <t>CILP_0400</t>
        </is>
      </c>
      <c r="B401" s="8" t="inlineStr">
        <is>
          <t>Spinocerebellar Ataxia</t>
        </is>
      </c>
      <c r="C401" s="8" t="inlineStr">
        <is>
          <t>SCA27</t>
        </is>
      </c>
      <c r="D401" s="8" t="inlineStr">
        <is>
          <t>609307</t>
        </is>
      </c>
      <c r="E401" s="8" t="inlineStr">
        <is>
          <t>OMIM:117210; OMIM:117360; OMIM:133190; OMIM:164400; OMIM:164500; OMIM:183086; OMIM:183090; OMIM:600224; OMIM:603516; OMIM:604326; OMIM:604432; OMIM:605259; OMIM:605361; OMIM:606002; OMIM:606658; OMIM:607136; OMIM:607250; OMIM:607346; OMIM:607454; OMIM:608768; OMIM:609306; OMIM:610245; OMIM:610246; OMIM:613908; OMIM:614153; OMIM:615945; OMIM:615957; OMIM:616053; OMIM:616410; OMIM:616795; OMIM:617018; OMIM:617691; OMIM:617769; OMIM:617770; OMIM:618093; OMIM:618387</t>
        </is>
      </c>
      <c r="F401" s="8" t="inlineStr">
        <is>
          <t>Family-level record (combined OMIM entries)</t>
        </is>
      </c>
      <c r="G401" s="8" t="inlineStr">
        <is>
          <t>Secondary</t>
        </is>
      </c>
      <c r="H401" s="8" t="inlineStr">
        <is>
          <t>Neurodevelopmental ciliopathy</t>
        </is>
      </c>
      <c r="I401" s="8" t="inlineStr">
        <is>
          <t>FGF14</t>
        </is>
      </c>
      <c r="J401" s="8" t="inlineStr">
        <is>
          <t>AD; INCOMPLETE_PENETRANCE; ANTICIPATION_PATERNAL_BIAS; ANTICIPATION; AR</t>
        </is>
      </c>
      <c r="K401" s="8" t="inlineStr">
        <is>
          <t>Abdomen; Eyes; Ears; Cardiovascular; Growth; Genitourinary; Immune system; Head and neck; Limbs; Nervous system; Metabolism; Skeletal; Skin</t>
        </is>
      </c>
      <c r="L401" s="8" t="n">
        <v>299</v>
      </c>
      <c r="M401" s="8" t="inlineStr">
        <is>
          <t>HP:0007979; HP:0000639; HP:0001272; HP:0001260; HP:0002066; HP:0000407; HP:0001251; HP:0002070; HP:0004325; HP:0002421; HP:0000640; HP:0002540; HP:0000486; HP:0001332; HP:0000089; HP:0004322; HP:0002384; HP:0030177; HP:0001290; HP:0000514; HP:0003763; HP:0000252; HP:0001583; HP:0004691; HP:0100021; HP:0011094; HP:0000805; HP:0000526; HP:0002307; HP:0007676; HP:0002423; HP:0001337; HP:0001336; HP:0001276; HP:0003698; HP:0000582; HP:0002002; HP:0001310; HP:0002120; HP:0001270; HP:0034435; HP:0002080; HP:0100275; HP:0100543; HP:0000617; HP:0100704; HP:0000616; HP:0100702; HP:0009049; HP:0000218; HP:0006855; HP:0001320; HP:0002136; HP:0002015; HP:0002411; HP:0000750; HP:0001321; HP:0002376; HP:0001288; HP:0000474; HP:0004396; HP:0005484; HP:0000508; HP:0009830; HP:0007256; HP:0001319; HP:0002406; HP:0004428; HP:0002007; HP:0002403; HP:0004425; HP:0002465; HP:0002345; HP:0010529; HP:0001256; HP:0002342; HP:0000563; HP:0031629; HP:0001250; HP:0001252; HP:0012428; HP:0003391; HP:0033128; HP:0007366; HP:0020045; HP:0025336; HP:0007885; HP:0007369; HP:0003701; HP:0020049; HP:0001642; HP:0001249; HP:0000555; HP:0002078; HP:0030147; HP:0025335; HP:0011968; HP:0006817; HP:0000570; HP:0001263; HP:0002470; HP:0002075; HP:0033257; HP:0002194; HP:0002071; HP:0012896; HP:0000448; HP:0002505; HP:0000565; HP:0002346; HP:0002169; HP:0007859; HP:0002442; HP:0000540; HP:0430025; HP:0001350; HP:0010862; HP:0031491; HP:0007340; HP:0000657; HP:0001627; HP:0001348; HP:0001347; HP:0002179; HP:0002059; HP:0008935; HP:0031936; HP:0002174; HP:0032988; HP:0001518; HP:0033683; HP:0001999; HP:0009878; HP:0001631; HP:0000028; HP:0000666; HP:0001265; HP:0003477; HP:0002380; HP:0000605; HP:0007772; HP:0001019; HP:0001257; HP:0000962; HP:0002542; HP:0003431; HP:0003394; HP:0002460; HP:0007006; HP:0001324; HP:0007328; HP:0003202; HP:0003401; HP:0003487; HP:0006937; HP:0002198; HP:0002072; HP:0002073; HP:0010831; HP:0007078; HP:0000648; HP:0000641; HP:0002503; HP:0002168; HP:0003693; HP:0001151; HP:0007263; HP:0002839; HP:0003448; HP:0001283; HP:0002495; HP:0001284; HP:0000623; HP:0000543; HP:0002310; HP:0000580; HP:0000529; HP:0000608; HP:0001268; HP:0002321; HP:0002083; HP:0002359; HP:0002017; HP:0002311; HP:0007670; HP:0000763; HP:0002067; HP:0000020; HP:0002063; HP:0002317; HP:0000510; HP:0001300; HP:0002172; HP:0000726; HP:0000602; HP:0007286; HP:0000317; HP:0002493; HP:0011448; HP:0001271; HP:0002062; HP:0000716; HP:0007289; HP:0002936; HP:0000012; HP:0000762; HP:0000496; HP:0002530; HP:0007141; HP:0000739; HP:0000746; HP:0002141; HP:0008003; HP:0000365; HP:0006886; HP:0002354; HP:0006938; HP:0004373; HP:0007018; HP:0003236; HP:0001152; HP:0010702; HP:0007240; HP:0006254; HP:0007267; HP:0006879; HP:0002650; HP:0001761; HP:0000524; HP:0001315; HP:0008278; HP:0000571; HP:0012758; HP:0100660; HP:0007338; HP:0002300; HP:0002186; HP:0011999; HP:0000738; HP:0000718; HP:0000757; HP:0007668; HP:0001289; HP:0002171; HP:0000727; HP:0002506; HP:0002529; HP:0000743; HP:0006858; HP:0003376; HP:0003124; HP:0003073; HP:0003380; HP:0002396; HP:0007944; HP:0002188; HP:0010543; HP:0010526; HP:0100710; HP:0007792; HP:0002304; HP:0000741; HP:0002166; HP:0001274; HP:0007305; HP:0003200; HP:0002395; HP:0003474; HP:0011922; HP:0006895; HP:0000597; HP:0000473; HP:0007024; HP:0000467; HP:0012473; HP:0001308; HP:0000511; HP:0003445; HP:0002313; HP:0000651; HP:0002497; HP:0002064; HP:0031166; HP:0007001; HP:0012514; HP:0030902; HP:0000768; HP:0000360; HP:0010545; HP:0003390; HP:0002069; HP:0100785; HP:0000737; HP:0004326; HP:0002352; HP:0011402; HP:0003690; HP:0009027; HP:0001765</t>
        </is>
      </c>
      <c r="N401" s="8" t="inlineStr">
        <is>
          <t>Yes</t>
        </is>
      </c>
      <c r="O401" s="8" t="n"/>
      <c r="P401" s="8" t="n"/>
    </row>
    <row r="402">
      <c r="A402" s="8" t="inlineStr">
        <is>
          <t>CILP_0401</t>
        </is>
      </c>
      <c r="B402" s="8" t="inlineStr">
        <is>
          <t>Spinocerebellar Ataxia</t>
        </is>
      </c>
      <c r="C402" s="8" t="inlineStr">
        <is>
          <t>SCA23</t>
        </is>
      </c>
      <c r="D402" s="8" t="inlineStr">
        <is>
          <t>610245</t>
        </is>
      </c>
      <c r="E402" s="8" t="inlineStr">
        <is>
          <t>OMIM:610245</t>
        </is>
      </c>
      <c r="F402" s="8" t="inlineStr">
        <is>
          <t>OMIM phenotype entry</t>
        </is>
      </c>
      <c r="G402" s="8" t="inlineStr">
        <is>
          <t>Secondary</t>
        </is>
      </c>
      <c r="H402" s="8" t="inlineStr">
        <is>
          <t>Neurodevelopmental ciliopathy</t>
        </is>
      </c>
      <c r="I402" s="8" t="inlineStr">
        <is>
          <t>PDYN</t>
        </is>
      </c>
      <c r="J402" s="8" t="inlineStr">
        <is>
          <t>AD</t>
        </is>
      </c>
      <c r="K402" s="8" t="inlineStr">
        <is>
          <t>Eyes; Nervous system</t>
        </is>
      </c>
      <c r="L402" s="8" t="n">
        <v>17</v>
      </c>
      <c r="M402" s="8" t="inlineStr">
        <is>
          <t>HP:0002166; HP:0006858; HP:0003487; HP:0001310; HP:0001272; HP:0001260; HP:0002066; HP:0001271; HP:0001274; HP:0002070; HP:0007141; HP:0000514; HP:0002529; HP:0000641; HP:0007305; HP:0001337; HP:0001347</t>
        </is>
      </c>
      <c r="N402" s="8" t="inlineStr">
        <is>
          <t>Yes</t>
        </is>
      </c>
      <c r="O402" s="8" t="n"/>
      <c r="P402" s="8" t="n"/>
    </row>
    <row r="403">
      <c r="A403" s="8" t="inlineStr">
        <is>
          <t>CILP_0402</t>
        </is>
      </c>
      <c r="B403" s="8" t="inlineStr">
        <is>
          <t>Spinocerebellar Ataxia</t>
        </is>
      </c>
      <c r="C403" s="8" t="inlineStr">
        <is>
          <t>SCA28</t>
        </is>
      </c>
      <c r="D403" s="8" t="inlineStr">
        <is>
          <t>610246</t>
        </is>
      </c>
      <c r="E403" s="8" t="inlineStr">
        <is>
          <t>OMIM:610246</t>
        </is>
      </c>
      <c r="F403" s="8" t="inlineStr">
        <is>
          <t>OMIM phenotype entry</t>
        </is>
      </c>
      <c r="G403" s="8" t="inlineStr">
        <is>
          <t>Secondary</t>
        </is>
      </c>
      <c r="H403" s="8" t="inlineStr">
        <is>
          <t>Neurodevelopmental ciliopathy</t>
        </is>
      </c>
      <c r="I403" s="8" t="inlineStr">
        <is>
          <t>AFG3L2</t>
        </is>
      </c>
      <c r="J403" s="8" t="inlineStr">
        <is>
          <t>AD</t>
        </is>
      </c>
      <c r="K403" s="8" t="inlineStr">
        <is>
          <t>Eyes; Limbs; Nervous system; Metabolism; Skeletal</t>
        </is>
      </c>
      <c r="L403" s="8" t="n">
        <v>18</v>
      </c>
      <c r="M403" s="8" t="inlineStr">
        <is>
          <t>HP:0000640; HP:0001300; HP:0003200; HP:0003487; HP:0001332; HP:0001272; HP:0002395; HP:0001260; HP:0002066; HP:0003474; HP:0002070; HP:0011922; HP:0000508; HP:0000514; HP:0006895; HP:0000641; HP:0000597; HP:0001257</t>
        </is>
      </c>
      <c r="N403" s="8" t="inlineStr">
        <is>
          <t>Yes</t>
        </is>
      </c>
      <c r="O403" s="8" t="n"/>
      <c r="P403" s="8" t="n"/>
    </row>
    <row r="404">
      <c r="A404" s="8" t="inlineStr">
        <is>
          <t>CILP_0403</t>
        </is>
      </c>
      <c r="B404" s="8" t="inlineStr">
        <is>
          <t>Spinocerebellar Ataxia</t>
        </is>
      </c>
      <c r="C404" s="8" t="inlineStr">
        <is>
          <t>SCA35</t>
        </is>
      </c>
      <c r="D404" s="8" t="inlineStr">
        <is>
          <t>613908</t>
        </is>
      </c>
      <c r="E404" s="8" t="inlineStr">
        <is>
          <t>OMIM:613908</t>
        </is>
      </c>
      <c r="F404" s="8" t="inlineStr">
        <is>
          <t>OMIM phenotype entry</t>
        </is>
      </c>
      <c r="G404" s="8" t="inlineStr">
        <is>
          <t>Secondary</t>
        </is>
      </c>
      <c r="H404" s="8" t="inlineStr">
        <is>
          <t>Neurodevelopmental ciliopathy</t>
        </is>
      </c>
      <c r="I404" s="8" t="inlineStr">
        <is>
          <t>TGM6</t>
        </is>
      </c>
      <c r="J404" s="8" t="inlineStr">
        <is>
          <t>AD</t>
        </is>
      </c>
      <c r="K404" s="8" t="inlineStr">
        <is>
          <t>Abdomen; Eyes; Head and neck; Nervous system; Skeletal</t>
        </is>
      </c>
      <c r="L404" s="8" t="n">
        <v>15</v>
      </c>
      <c r="M404" s="8" t="inlineStr">
        <is>
          <t>HP:0002311; HP:0000473; HP:0001288; HP:0003487; HP:0001310; HP:0001272; HP:0001260; HP:0001251; HP:0002080; HP:0010831; HP:0000514; HP:0007024; HP:0002505; HP:0000467; HP:0001347</t>
        </is>
      </c>
      <c r="N404" s="8" t="inlineStr">
        <is>
          <t>Yes</t>
        </is>
      </c>
      <c r="O404" s="8" t="n"/>
      <c r="P404" s="8" t="n"/>
    </row>
    <row r="405">
      <c r="A405" s="8" t="inlineStr">
        <is>
          <t>CILP_0404</t>
        </is>
      </c>
      <c r="B405" s="8" t="inlineStr">
        <is>
          <t>Spinocerebellar Ataxia</t>
        </is>
      </c>
      <c r="C405" s="8" t="inlineStr">
        <is>
          <t>SCA36</t>
        </is>
      </c>
      <c r="D405" s="8" t="inlineStr">
        <is>
          <t>614153</t>
        </is>
      </c>
      <c r="E405" s="8" t="inlineStr">
        <is>
          <t>OMIM:614153</t>
        </is>
      </c>
      <c r="F405" s="8" t="inlineStr">
        <is>
          <t>OMIM phenotype entry</t>
        </is>
      </c>
      <c r="G405" s="8" t="inlineStr">
        <is>
          <t>Secondary</t>
        </is>
      </c>
      <c r="H405" s="8" t="inlineStr">
        <is>
          <t>Neurodevelopmental ciliopathy</t>
        </is>
      </c>
      <c r="I405" s="8" t="inlineStr">
        <is>
          <t>NOP56</t>
        </is>
      </c>
      <c r="J405" s="8" t="inlineStr">
        <is>
          <t>AD</t>
        </is>
      </c>
      <c r="K405" s="8" t="inlineStr">
        <is>
          <t>Abdomen; Eyes; Ears; Head and neck; Nervous system; Skeletal</t>
        </is>
      </c>
      <c r="L405" s="8" t="n">
        <v>24</v>
      </c>
      <c r="M405" s="8" t="inlineStr">
        <is>
          <t>HP:0001276; HP:0000365; HP:0001272; HP:0002066; HP:0001252; HP:0001251; HP:0002380; HP:0012473; HP:0000639; HP:0000514; HP:0001308; HP:0001324; HP:0001347; HP:0000511; HP:0002311; HP:0003202; HP:0002015; HP:0003445; HP:0002078; HP:0003487; HP:0001260; HP:0002070; HP:0000508; HP:0007772</t>
        </is>
      </c>
      <c r="N405" s="8" t="inlineStr">
        <is>
          <t>Yes</t>
        </is>
      </c>
      <c r="O405" s="8" t="n"/>
      <c r="P405" s="8" t="n"/>
    </row>
    <row r="406">
      <c r="A406" s="8" t="inlineStr">
        <is>
          <t>CILP_0405</t>
        </is>
      </c>
      <c r="B406" s="8" t="inlineStr">
        <is>
          <t>Spinocerebellar Ataxia</t>
        </is>
      </c>
      <c r="C406" s="8" t="inlineStr">
        <is>
          <t>SCA37</t>
        </is>
      </c>
      <c r="D406" s="8" t="inlineStr">
        <is>
          <t>615945</t>
        </is>
      </c>
      <c r="E406" s="8" t="inlineStr">
        <is>
          <t>OMIM:615945</t>
        </is>
      </c>
      <c r="F406" s="8" t="inlineStr">
        <is>
          <t>OMIM phenotype entry</t>
        </is>
      </c>
      <c r="G406" s="8" t="inlineStr">
        <is>
          <t>Secondary</t>
        </is>
      </c>
      <c r="H406" s="8" t="inlineStr">
        <is>
          <t>Neurodevelopmental ciliopathy</t>
        </is>
      </c>
      <c r="I406" s="8" t="inlineStr">
        <is>
          <t>DAB1</t>
        </is>
      </c>
      <c r="J406" s="8" t="inlineStr">
        <is>
          <t>AD</t>
        </is>
      </c>
      <c r="K406" s="8" t="inlineStr">
        <is>
          <t>Abdomen; Eyes; Nervous system; Skeletal</t>
        </is>
      </c>
      <c r="L406" s="8" t="n">
        <v>8</v>
      </c>
      <c r="M406" s="8" t="inlineStr">
        <is>
          <t>HP:0002015; HP:0001272; HP:0001260; HP:0001251; HP:0000639; HP:0002317; HP:0002359; HP:0001337</t>
        </is>
      </c>
      <c r="N406" s="8" t="inlineStr">
        <is>
          <t>Yes</t>
        </is>
      </c>
      <c r="O406" s="8" t="n"/>
      <c r="P406" s="8" t="n"/>
    </row>
    <row r="407">
      <c r="A407" s="8" t="inlineStr">
        <is>
          <t>CILP_0406</t>
        </is>
      </c>
      <c r="B407" s="8" t="inlineStr">
        <is>
          <t>Spinocerebellar Ataxia</t>
        </is>
      </c>
      <c r="C407" s="8" t="inlineStr">
        <is>
          <t>SCA38</t>
        </is>
      </c>
      <c r="D407" s="8" t="inlineStr">
        <is>
          <t>615957</t>
        </is>
      </c>
      <c r="E407" s="8" t="inlineStr">
        <is>
          <t>OMIM:615957</t>
        </is>
      </c>
      <c r="F407" s="8" t="inlineStr">
        <is>
          <t>OMIM phenotype entry</t>
        </is>
      </c>
      <c r="G407" s="8" t="inlineStr">
        <is>
          <t>Secondary</t>
        </is>
      </c>
      <c r="H407" s="8" t="inlineStr">
        <is>
          <t>Neurodevelopmental ciliopathy</t>
        </is>
      </c>
      <c r="I407" s="8" t="inlineStr">
        <is>
          <t>ELOVL5</t>
        </is>
      </c>
      <c r="J407" s="8" t="inlineStr">
        <is>
          <t>AD</t>
        </is>
      </c>
      <c r="K407" s="8" t="inlineStr">
        <is>
          <t>Eyes; Nervous system; Skeletal</t>
        </is>
      </c>
      <c r="L407" s="8" t="n">
        <v>12</v>
      </c>
      <c r="M407" s="8" t="inlineStr">
        <is>
          <t>HP:0003477; HP:0001260; HP:0002066; HP:0001251; HP:0002460; HP:0002070; HP:0000639; HP:0000514; HP:0007366; HP:0001337; HP:0001336; HP:0006855</t>
        </is>
      </c>
      <c r="N407" s="8" t="inlineStr">
        <is>
          <t>Yes</t>
        </is>
      </c>
      <c r="O407" s="8" t="n"/>
      <c r="P407" s="8" t="n"/>
    </row>
    <row r="408">
      <c r="A408" s="8" t="inlineStr">
        <is>
          <t>CILP_0407</t>
        </is>
      </c>
      <c r="B408" s="8" t="inlineStr">
        <is>
          <t>Spinocerebellar Ataxia</t>
        </is>
      </c>
      <c r="C408" s="8" t="inlineStr">
        <is>
          <t>SCA40</t>
        </is>
      </c>
      <c r="D408" s="8" t="inlineStr">
        <is>
          <t>616053</t>
        </is>
      </c>
      <c r="E408" s="8" t="inlineStr">
        <is>
          <t>OMIM:616053</t>
        </is>
      </c>
      <c r="F408" s="8" t="inlineStr">
        <is>
          <t>OMIM phenotype entry</t>
        </is>
      </c>
      <c r="G408" s="8" t="inlineStr">
        <is>
          <t>Secondary</t>
        </is>
      </c>
      <c r="H408" s="8" t="inlineStr">
        <is>
          <t>Neurodevelopmental ciliopathy</t>
        </is>
      </c>
      <c r="I408" s="8" t="inlineStr">
        <is>
          <t>CCDC88C</t>
        </is>
      </c>
      <c r="J408" s="8" t="inlineStr">
        <is>
          <t>AD</t>
        </is>
      </c>
      <c r="K408" s="8" t="inlineStr">
        <is>
          <t>Limbs; Nervous system; Skeletal</t>
        </is>
      </c>
      <c r="L408" s="8" t="n">
        <v>14</v>
      </c>
      <c r="M408" s="8" t="inlineStr">
        <is>
          <t>HP:0002168; HP:0006879; HP:0002136; HP:0001310; HP:0002066; HP:0001260; HP:0002075; HP:0001251; HP:0002080; HP:0011448; HP:0002317; HP:0001337; HP:0002313; HP:0001347</t>
        </is>
      </c>
      <c r="N408" s="8" t="inlineStr">
        <is>
          <t>Yes</t>
        </is>
      </c>
      <c r="O408" s="8" t="n"/>
      <c r="P408" s="8" t="n"/>
    </row>
    <row r="409">
      <c r="A409" s="8" t="inlineStr">
        <is>
          <t>CILP_0408</t>
        </is>
      </c>
      <c r="B409" s="8" t="inlineStr">
        <is>
          <t>Spinocerebellar Ataxia</t>
        </is>
      </c>
      <c r="C409" s="8" t="inlineStr">
        <is>
          <t>SCA41</t>
        </is>
      </c>
      <c r="D409" s="8" t="inlineStr">
        <is>
          <t>616410</t>
        </is>
      </c>
      <c r="E409" s="8" t="inlineStr">
        <is>
          <t>OMIM:616410</t>
        </is>
      </c>
      <c r="F409" s="8" t="inlineStr">
        <is>
          <t>OMIM phenotype entry</t>
        </is>
      </c>
      <c r="G409" s="8" t="inlineStr">
        <is>
          <t>Secondary</t>
        </is>
      </c>
      <c r="H409" s="8" t="inlineStr">
        <is>
          <t>Neurodevelopmental ciliopathy</t>
        </is>
      </c>
      <c r="I409" s="8" t="inlineStr">
        <is>
          <t>TRPC3</t>
        </is>
      </c>
      <c r="J409" s="8" t="inlineStr">
        <is>
          <t>AD</t>
        </is>
      </c>
      <c r="K409" s="8" t="inlineStr">
        <is>
          <t>Nervous system</t>
        </is>
      </c>
      <c r="L409" s="8" t="n">
        <v>6</v>
      </c>
      <c r="M409" s="8" t="inlineStr">
        <is>
          <t>HP:0001272; HP:0002066; HP:0001251; HP:0002172; HP:0002317; HP:0006855</t>
        </is>
      </c>
      <c r="N409" s="8" t="inlineStr">
        <is>
          <t>Yes</t>
        </is>
      </c>
      <c r="O409" s="8" t="n"/>
      <c r="P409" s="8" t="n"/>
    </row>
    <row r="410">
      <c r="A410" s="8" t="inlineStr">
        <is>
          <t>CILP_0409</t>
        </is>
      </c>
      <c r="B410" s="8" t="inlineStr">
        <is>
          <t>Spinocerebellar Ataxia</t>
        </is>
      </c>
      <c r="C410" s="8" t="inlineStr">
        <is>
          <t>SCA42</t>
        </is>
      </c>
      <c r="D410" s="8" t="inlineStr">
        <is>
          <t>616795</t>
        </is>
      </c>
      <c r="E410" s="8" t="inlineStr">
        <is>
          <t>OMIM:616795</t>
        </is>
      </c>
      <c r="F410" s="8" t="inlineStr">
        <is>
          <t>OMIM phenotype entry</t>
        </is>
      </c>
      <c r="G410" s="8" t="inlineStr">
        <is>
          <t>Secondary</t>
        </is>
      </c>
      <c r="H410" s="8" t="inlineStr">
        <is>
          <t>Neurodevelopmental ciliopathy</t>
        </is>
      </c>
      <c r="I410" s="8" t="inlineStr">
        <is>
          <t>CACNA1G</t>
        </is>
      </c>
      <c r="J410" s="8" t="inlineStr">
        <is>
          <t>AD</t>
        </is>
      </c>
      <c r="K410" s="8" t="inlineStr">
        <is>
          <t>Abdomen; Eyes; Genitourinary; Nervous system; Skeletal</t>
        </is>
      </c>
      <c r="L410" s="8" t="n">
        <v>21</v>
      </c>
      <c r="M410" s="8" t="inlineStr">
        <is>
          <t>HP:0002015; HP:0000651; HP:0003487; HP:0002497; HP:0000012; HP:0001272; HP:0001260; HP:0006938; HP:0000020; HP:0001251; HP:0001152; HP:0002064; HP:0031166; HP:0100543; HP:0000716; HP:0007001; HP:0007256; HP:0002317; HP:0000666; HP:0001337; HP:0001347</t>
        </is>
      </c>
      <c r="N410" s="8" t="inlineStr">
        <is>
          <t>Yes</t>
        </is>
      </c>
      <c r="O410" s="8" t="n"/>
      <c r="P410" s="8" t="n"/>
    </row>
    <row r="411">
      <c r="A411" s="8" t="inlineStr">
        <is>
          <t>CILP_0410</t>
        </is>
      </c>
      <c r="B411" s="8" t="inlineStr">
        <is>
          <t>Spinocerebellar Ataxia</t>
        </is>
      </c>
      <c r="C411" s="8" t="inlineStr">
        <is>
          <t>SCA43</t>
        </is>
      </c>
      <c r="D411" s="8" t="inlineStr">
        <is>
          <t>617018</t>
        </is>
      </c>
      <c r="E411" s="8" t="inlineStr">
        <is>
          <t>OMIM:617018</t>
        </is>
      </c>
      <c r="F411" s="8" t="inlineStr">
        <is>
          <t>OMIM phenotype entry</t>
        </is>
      </c>
      <c r="G411" s="8" t="inlineStr">
        <is>
          <t>Secondary</t>
        </is>
      </c>
      <c r="H411" s="8" t="inlineStr">
        <is>
          <t>Neurodevelopmental ciliopathy</t>
        </is>
      </c>
      <c r="I411" s="8" t="inlineStr">
        <is>
          <t>MME</t>
        </is>
      </c>
      <c r="J411" s="8" t="inlineStr">
        <is>
          <t>AD</t>
        </is>
      </c>
      <c r="K411" s="8" t="inlineStr">
        <is>
          <t>Eyes; Limbs; Nervous system; Skeletal</t>
        </is>
      </c>
      <c r="L411" s="8" t="n">
        <v>18</v>
      </c>
      <c r="M411" s="8" t="inlineStr">
        <is>
          <t>HP:0001265; HP:0000571; HP:0001761; HP:0003693; HP:0001260; HP:0002066; HP:0002063; HP:0001251; HP:0012514; HP:0002172; HP:0002070; HP:0030902; HP:0000639; HP:0007141; HP:0002936; HP:0000768; HP:0001337; HP:0006855</t>
        </is>
      </c>
      <c r="N411" s="8" t="inlineStr">
        <is>
          <t>Yes</t>
        </is>
      </c>
      <c r="O411" s="8" t="n"/>
      <c r="P411" s="8" t="n"/>
    </row>
    <row r="412">
      <c r="A412" s="8" t="inlineStr">
        <is>
          <t>CILP_0411</t>
        </is>
      </c>
      <c r="B412" s="8" t="inlineStr">
        <is>
          <t>Spinocerebellar Ataxia</t>
        </is>
      </c>
      <c r="C412" s="8" t="inlineStr">
        <is>
          <t>SCA44</t>
        </is>
      </c>
      <c r="D412" s="8" t="inlineStr">
        <is>
          <t>617691</t>
        </is>
      </c>
      <c r="E412" s="8" t="inlineStr">
        <is>
          <t>OMIM:617691</t>
        </is>
      </c>
      <c r="F412" s="8" t="inlineStr">
        <is>
          <t>OMIM phenotype entry</t>
        </is>
      </c>
      <c r="G412" s="8" t="inlineStr">
        <is>
          <t>Secondary</t>
        </is>
      </c>
      <c r="H412" s="8" t="inlineStr">
        <is>
          <t>Neurodevelopmental ciliopathy</t>
        </is>
      </c>
      <c r="I412" s="8" t="inlineStr">
        <is>
          <t>GRM1</t>
        </is>
      </c>
      <c r="J412" s="8" t="inlineStr">
        <is>
          <t>AD</t>
        </is>
      </c>
      <c r="K412" s="8" t="inlineStr">
        <is>
          <t>Abdomen; Eyes; Ears; Nervous system; Skeletal</t>
        </is>
      </c>
      <c r="L412" s="8" t="n">
        <v>14</v>
      </c>
      <c r="M412" s="8" t="inlineStr">
        <is>
          <t>HP:0002015; HP:0000750; HP:0001310; HP:0001272; HP:0001260; HP:0002066; HP:0001251; HP:0002075; HP:0000360; HP:0001270; HP:0002359; HP:0001257; HP:0007338; HP:0001348</t>
        </is>
      </c>
      <c r="N412" s="8" t="inlineStr">
        <is>
          <t>Yes</t>
        </is>
      </c>
      <c r="O412" s="8" t="n"/>
      <c r="P412" s="8" t="n"/>
    </row>
    <row r="413">
      <c r="A413" s="8" t="inlineStr">
        <is>
          <t>CILP_0412</t>
        </is>
      </c>
      <c r="B413" s="8" t="inlineStr">
        <is>
          <t>Spinocerebellar Ataxia</t>
        </is>
      </c>
      <c r="C413" s="8" t="inlineStr">
        <is>
          <t>SCA45</t>
        </is>
      </c>
      <c r="D413" s="8" t="inlineStr">
        <is>
          <t>617769</t>
        </is>
      </c>
      <c r="E413" s="8" t="inlineStr">
        <is>
          <t>OMIM:617769</t>
        </is>
      </c>
      <c r="F413" s="8" t="inlineStr">
        <is>
          <t>OMIM phenotype entry</t>
        </is>
      </c>
      <c r="G413" s="8" t="inlineStr">
        <is>
          <t>Secondary</t>
        </is>
      </c>
      <c r="H413" s="8" t="inlineStr">
        <is>
          <t>Neurodevelopmental ciliopathy</t>
        </is>
      </c>
      <c r="I413" s="8" t="inlineStr">
        <is>
          <t>FAT2</t>
        </is>
      </c>
      <c r="J413" s="8" t="inlineStr">
        <is>
          <t>AD</t>
        </is>
      </c>
      <c r="K413" s="8" t="inlineStr">
        <is>
          <t>Eyes; Nervous system</t>
        </is>
      </c>
      <c r="L413" s="8" t="n">
        <v>5</v>
      </c>
      <c r="M413" s="8" t="inlineStr">
        <is>
          <t>HP:0001272; HP:0001260; HP:0002066; HP:0002070; HP:0010545</t>
        </is>
      </c>
      <c r="N413" s="8" t="inlineStr">
        <is>
          <t>Yes</t>
        </is>
      </c>
      <c r="O413" s="8" t="n"/>
      <c r="P413" s="8" t="n"/>
    </row>
    <row r="414">
      <c r="A414" s="8" t="inlineStr">
        <is>
          <t>CILP_0413</t>
        </is>
      </c>
      <c r="B414" s="8" t="inlineStr">
        <is>
          <t>Spinocerebellar Ataxia</t>
        </is>
      </c>
      <c r="C414" s="8" t="inlineStr">
        <is>
          <t>SCA46</t>
        </is>
      </c>
      <c r="D414" s="8" t="inlineStr">
        <is>
          <t>617770</t>
        </is>
      </c>
      <c r="E414" s="8" t="inlineStr">
        <is>
          <t>OMIM:617770</t>
        </is>
      </c>
      <c r="F414" s="8" t="inlineStr">
        <is>
          <t>OMIM phenotype entry</t>
        </is>
      </c>
      <c r="G414" s="8" t="inlineStr">
        <is>
          <t>Secondary</t>
        </is>
      </c>
      <c r="H414" s="8" t="inlineStr">
        <is>
          <t>Neurodevelopmental ciliopathy</t>
        </is>
      </c>
      <c r="I414" s="8" t="inlineStr">
        <is>
          <t>PLD3</t>
        </is>
      </c>
      <c r="J414" s="8" t="inlineStr">
        <is>
          <t>AD</t>
        </is>
      </c>
      <c r="K414" s="8" t="inlineStr">
        <is>
          <t>Eyes; Nervous system</t>
        </is>
      </c>
      <c r="L414" s="8" t="n">
        <v>10</v>
      </c>
      <c r="M414" s="8" t="inlineStr">
        <is>
          <t>HP:0001310; HP:0001272; HP:0002066; HP:0001260; HP:0003390; HP:0002070; HP:0000639; HP:0000514; HP:0008003; HP:0002403</t>
        </is>
      </c>
      <c r="N414" s="8" t="inlineStr">
        <is>
          <t>Yes</t>
        </is>
      </c>
      <c r="O414" s="8" t="n"/>
      <c r="P414" s="8" t="n"/>
    </row>
    <row r="415">
      <c r="A415" s="8" t="inlineStr">
        <is>
          <t>CILP_0414</t>
        </is>
      </c>
      <c r="B415" s="8" t="inlineStr">
        <is>
          <t>Spinocerebellar Ataxia</t>
        </is>
      </c>
      <c r="C415" s="8" t="inlineStr">
        <is>
          <t>SCA47</t>
        </is>
      </c>
      <c r="D415" s="8" t="inlineStr">
        <is>
          <t>617931</t>
        </is>
      </c>
      <c r="E415" s="8" t="inlineStr">
        <is>
          <t>OMIM:117210; OMIM:117360; OMIM:133190; OMIM:164400; OMIM:164500; OMIM:183086; OMIM:183090; OMIM:600224; OMIM:603516; OMIM:604326; OMIM:604432; OMIM:605259; OMIM:605361; OMIM:606002; OMIM:606658; OMIM:607136; OMIM:607250; OMIM:607346; OMIM:607454; OMIM:608768; OMIM:609306; OMIM:610245; OMIM:610246; OMIM:613908; OMIM:614153; OMIM:615945; OMIM:615957; OMIM:616053; OMIM:616410; OMIM:616795; OMIM:617018; OMIM:617691; OMIM:617769; OMIM:617770; OMIM:618093; OMIM:618387</t>
        </is>
      </c>
      <c r="F415" s="8" t="inlineStr">
        <is>
          <t>Family-level record (combined OMIM entries)</t>
        </is>
      </c>
      <c r="G415" s="8" t="inlineStr">
        <is>
          <t>Secondary</t>
        </is>
      </c>
      <c r="H415" s="8" t="inlineStr">
        <is>
          <t>Neurodevelopmental ciliopathy</t>
        </is>
      </c>
      <c r="I415" s="8" t="inlineStr">
        <is>
          <t>PUM1</t>
        </is>
      </c>
      <c r="J415" s="8" t="inlineStr">
        <is>
          <t>AD; INCOMPLETE_PENETRANCE; ANTICIPATION_PATERNAL_BIAS; ANTICIPATION; AR</t>
        </is>
      </c>
      <c r="K415" s="8" t="inlineStr">
        <is>
          <t>Abdomen; Eyes; Ears; Cardiovascular; Growth; Genitourinary; Immune system; Head and neck; Limbs; Nervous system; Metabolism; Skeletal; Skin</t>
        </is>
      </c>
      <c r="L415" s="8" t="n">
        <v>299</v>
      </c>
      <c r="M415" s="8" t="inlineStr">
        <is>
          <t>HP:0007979; HP:0000639; HP:0001272; HP:0001260; HP:0002066; HP:0000407; HP:0001251; HP:0002070; HP:0004325; HP:0002421; HP:0000640; HP:0002540; HP:0000486; HP:0001332; HP:0000089; HP:0004322; HP:0002384; HP:0030177; HP:0001290; HP:0000514; HP:0003763; HP:0000252; HP:0001583; HP:0004691; HP:0100021; HP:0011094; HP:0000805; HP:0000526; HP:0002307; HP:0007676; HP:0002423; HP:0001337; HP:0001336; HP:0001276; HP:0003698; HP:0000582; HP:0002002; HP:0001310; HP:0002120; HP:0001270; HP:0034435; HP:0002080; HP:0100275; HP:0100543; HP:0000617; HP:0100704; HP:0000616; HP:0100702; HP:0009049; HP:0000218; HP:0006855; HP:0001320; HP:0002136; HP:0002015; HP:0002411; HP:0000750; HP:0001321; HP:0002376; HP:0001288; HP:0000474; HP:0004396; HP:0005484; HP:0000508; HP:0009830; HP:0007256; HP:0001319; HP:0002406; HP:0004428; HP:0002007; HP:0002403; HP:0004425; HP:0002465; HP:0002345; HP:0010529; HP:0001256; HP:0002342; HP:0000563; HP:0031629; HP:0001250; HP:0001252; HP:0012428; HP:0003391; HP:0033128; HP:0007366; HP:0020045; HP:0025336; HP:0007885; HP:0007369; HP:0003701; HP:0020049; HP:0001642; HP:0001249; HP:0000555; HP:0002078; HP:0030147; HP:0025335; HP:0011968; HP:0006817; HP:0000570; HP:0001263; HP:0002470; HP:0002075; HP:0033257; HP:0002194; HP:0002071; HP:0012896; HP:0000448; HP:0002505; HP:0000565; HP:0002346; HP:0002169; HP:0007859; HP:0002442; HP:0000540; HP:0430025; HP:0001350; HP:0010862; HP:0031491; HP:0007340; HP:0000657; HP:0001627; HP:0001348; HP:0001347; HP:0002179; HP:0002059; HP:0008935; HP:0031936; HP:0002174; HP:0032988; HP:0001518; HP:0033683; HP:0001999; HP:0009878; HP:0001631; HP:0000028; HP:0000666; HP:0001265; HP:0003477; HP:0002380; HP:0000605; HP:0007772; HP:0001019; HP:0001257; HP:0000962; HP:0002542; HP:0003431; HP:0003394; HP:0002460; HP:0007006; HP:0001324; HP:0007328; HP:0003202; HP:0003401; HP:0003487; HP:0006937; HP:0002198; HP:0002072; HP:0002073; HP:0010831; HP:0007078; HP:0000648; HP:0000641; HP:0002503; HP:0002168; HP:0003693; HP:0001151; HP:0007263; HP:0002839; HP:0003448; HP:0001283; HP:0002495; HP:0001284; HP:0000623; HP:0000543; HP:0002310; HP:0000580; HP:0000529; HP:0000608; HP:0001268; HP:0002321; HP:0002083; HP:0002359; HP:0002017; HP:0002311; HP:0007670; HP:0000763; HP:0002067; HP:0000020; HP:0002063; HP:0002317; HP:0000510; HP:0001300; HP:0002172; HP:0000726; HP:0000602; HP:0007286; HP:0000317; HP:0002493; HP:0011448; HP:0001271; HP:0002062; HP:0000716; HP:0007289; HP:0002936; HP:0000012; HP:0000762; HP:0000496; HP:0002530; HP:0007141; HP:0000739; HP:0000746; HP:0002141; HP:0008003; HP:0000365; HP:0006886; HP:0002354; HP:0006938; HP:0004373; HP:0007018; HP:0003236; HP:0001152; HP:0010702; HP:0007240; HP:0006254; HP:0007267; HP:0006879; HP:0002650; HP:0001761; HP:0000524; HP:0001315; HP:0008278; HP:0000571; HP:0012758; HP:0100660; HP:0007338; HP:0002300; HP:0002186; HP:0011999; HP:0000738; HP:0000718; HP:0000757; HP:0007668; HP:0001289; HP:0002171; HP:0000727; HP:0002506; HP:0002529; HP:0000743; HP:0006858; HP:0003376; HP:0003124; HP:0003073; HP:0003380; HP:0002396; HP:0007944; HP:0002188; HP:0010543; HP:0010526; HP:0100710; HP:0007792; HP:0002304; HP:0000741; HP:0002166; HP:0001274; HP:0007305; HP:0003200; HP:0002395; HP:0003474; HP:0011922; HP:0006895; HP:0000597; HP:0000473; HP:0007024; HP:0000467; HP:0012473; HP:0001308; HP:0000511; HP:0003445; HP:0002313; HP:0000651; HP:0002497; HP:0002064; HP:0031166; HP:0007001; HP:0012514; HP:0030902; HP:0000768; HP:0000360; HP:0010545; HP:0003390; HP:0002069; HP:0100785; HP:0000737; HP:0004326; HP:0002352; HP:0011402; HP:0003690; HP:0009027; HP:0001765</t>
        </is>
      </c>
      <c r="N415" s="8" t="inlineStr">
        <is>
          <t>No</t>
        </is>
      </c>
      <c r="O415" s="8" t="inlineStr">
        <is>
          <t>Exact duplicate of CILP_0400 (identical features, same family)</t>
        </is>
      </c>
      <c r="P415" s="8" t="n"/>
    </row>
    <row r="416">
      <c r="A416" s="8" t="inlineStr">
        <is>
          <t>CILP_0415</t>
        </is>
      </c>
      <c r="B416" s="8" t="inlineStr">
        <is>
          <t>Spinocerebellar Ataxia</t>
        </is>
      </c>
      <c r="C416" s="8" t="inlineStr">
        <is>
          <t>SCA48</t>
        </is>
      </c>
      <c r="D416" s="8" t="inlineStr">
        <is>
          <t>618093</t>
        </is>
      </c>
      <c r="E416" s="8" t="inlineStr">
        <is>
          <t>OMIM:618093</t>
        </is>
      </c>
      <c r="F416" s="8" t="inlineStr">
        <is>
          <t>OMIM phenotype entry</t>
        </is>
      </c>
      <c r="G416" s="8" t="inlineStr">
        <is>
          <t>Secondary</t>
        </is>
      </c>
      <c r="H416" s="8" t="inlineStr">
        <is>
          <t>Neurodevelopmental ciliopathy</t>
        </is>
      </c>
      <c r="I416" s="8" t="inlineStr">
        <is>
          <t>STUB1</t>
        </is>
      </c>
      <c r="J416" s="8" t="inlineStr">
        <is>
          <t>AD</t>
        </is>
      </c>
      <c r="K416" s="8" t="inlineStr">
        <is>
          <t>Abdomen; Growth; Genitourinary; Nervous system</t>
        </is>
      </c>
      <c r="L416" s="8" t="n">
        <v>20</v>
      </c>
      <c r="M416" s="8" t="inlineStr">
        <is>
          <t>HP:0002069; HP:0002015; HP:0001300; HP:0001310; HP:0003487; HP:0001332; HP:0001272; HP:0001260; HP:0002066; HP:0000020; HP:0001251; HP:0002072; HP:0100785; HP:0000716; HP:0000737; HP:0000739; HP:0001268; HP:0001337; HP:0004326; HP:0001347</t>
        </is>
      </c>
      <c r="N416" s="8" t="inlineStr">
        <is>
          <t>Yes</t>
        </is>
      </c>
      <c r="O416" s="8" t="n"/>
      <c r="P416" s="8" t="n"/>
    </row>
    <row r="417">
      <c r="A417" s="8" t="inlineStr">
        <is>
          <t>CILP_0416</t>
        </is>
      </c>
      <c r="B417" s="8" t="inlineStr">
        <is>
          <t>Spinocerebellar Ataxia</t>
        </is>
      </c>
      <c r="C417" s="8" t="inlineStr">
        <is>
          <t>SCAN3</t>
        </is>
      </c>
      <c r="D417" s="8" t="inlineStr">
        <is>
          <t>618387</t>
        </is>
      </c>
      <c r="E417" s="8" t="inlineStr">
        <is>
          <t>OMIM:618387</t>
        </is>
      </c>
      <c r="F417" s="8" t="inlineStr">
        <is>
          <t>OMIM phenotype entry</t>
        </is>
      </c>
      <c r="G417" s="8" t="inlineStr">
        <is>
          <t>Secondary</t>
        </is>
      </c>
      <c r="H417" s="8" t="inlineStr">
        <is>
          <t>Neurodevelopmental ciliopathy</t>
        </is>
      </c>
      <c r="I417" s="8" t="inlineStr">
        <is>
          <t>COA7</t>
        </is>
      </c>
      <c r="J417" s="8" t="inlineStr">
        <is>
          <t>AR</t>
        </is>
      </c>
      <c r="K417" s="8" t="inlineStr">
        <is>
          <t>Limbs; Nervous system; Metabolism; Skeletal</t>
        </is>
      </c>
      <c r="L417" s="8" t="n">
        <v>20</v>
      </c>
      <c r="M417" s="8" t="inlineStr">
        <is>
          <t>HP:0001265; HP:0003477; HP:0003236; HP:0003376; HP:0001310; HP:0001761; HP:0001272; HP:0003693; HP:0001260; HP:0002066; HP:0002352; HP:0001263; HP:0001251; HP:0002460; HP:0011402; HP:0003690; HP:0009027; HP:0002936; HP:0001337; HP:0001765</t>
        </is>
      </c>
      <c r="N417" s="8" t="inlineStr">
        <is>
          <t>Yes</t>
        </is>
      </c>
      <c r="O417" s="8" t="n"/>
      <c r="P417" s="8" t="n"/>
    </row>
    <row r="418">
      <c r="A418" s="8" t="inlineStr">
        <is>
          <t>CILP_0417</t>
        </is>
      </c>
      <c r="B418" s="8" t="inlineStr">
        <is>
          <t>Spondylometaphyseal Dysplasia</t>
        </is>
      </c>
      <c r="C418" s="8" t="inlineStr">
        <is>
          <t>SMDK</t>
        </is>
      </c>
      <c r="D418" s="8" t="inlineStr">
        <is>
          <t>184252</t>
        </is>
      </c>
      <c r="E418" s="8" t="inlineStr">
        <is>
          <t>OMIM:184252</t>
        </is>
      </c>
      <c r="F418" s="8" t="inlineStr">
        <is>
          <t>OMIM phenotype entry</t>
        </is>
      </c>
      <c r="G418" s="8" t="inlineStr">
        <is>
          <t>Primary</t>
        </is>
      </c>
      <c r="H418" s="8" t="inlineStr">
        <is>
          <t>Skeletal ciliopathy</t>
        </is>
      </c>
      <c r="I418" s="8" t="inlineStr">
        <is>
          <t>TRPV4</t>
        </is>
      </c>
      <c r="J418" s="8" t="inlineStr">
        <is>
          <t>AD</t>
        </is>
      </c>
      <c r="K418" s="8" t="inlineStr">
        <is>
          <t>Growth; Head and neck; Limbs; Nervous system; Skeletal</t>
        </is>
      </c>
      <c r="L418" s="8" t="n">
        <v>29</v>
      </c>
      <c r="M418" s="8" t="inlineStr">
        <is>
          <t>HP:0003037; HP:0003015; HP:0001498; HP:0003311; HP:0003375; HP:0010230; HP:0006375; HP:0001547; HP:0002812; HP:0002515; HP:0008833; HP:0002657; HP:0001760; HP:0003521; HP:0002751; HP:0002650; HP:0002750; HP:0000470; HP:0005042; HP:0005041; HP:0005280; HP:0003180; HP:0000926; HP:0002869; HP:0000348; HP:0002826; HP:0000768; HP:0002987; HP:0001216</t>
        </is>
      </c>
      <c r="N418" s="8" t="inlineStr">
        <is>
          <t>Yes</t>
        </is>
      </c>
      <c r="O418" s="8" t="n"/>
      <c r="P418" s="8" t="n"/>
    </row>
    <row r="419">
      <c r="A419" s="8" t="inlineStr">
        <is>
          <t>CILP_0418</t>
        </is>
      </c>
      <c r="B419" s="8" t="inlineStr">
        <is>
          <t>Spondylometaphyseal Dysplasia</t>
        </is>
      </c>
      <c r="C419" s="8" t="inlineStr">
        <is>
          <t>SMDCF</t>
        </is>
      </c>
      <c r="D419" s="8" t="inlineStr">
        <is>
          <t>184255</t>
        </is>
      </c>
      <c r="E419" s="8" t="inlineStr">
        <is>
          <t>OMIM:184255</t>
        </is>
      </c>
      <c r="F419" s="8" t="inlineStr">
        <is>
          <t>OMIM phenotype entry</t>
        </is>
      </c>
      <c r="G419" s="8" t="inlineStr">
        <is>
          <t>Primary</t>
        </is>
      </c>
      <c r="H419" s="8" t="inlineStr">
        <is>
          <t>Skeletal ciliopathy</t>
        </is>
      </c>
      <c r="I419" s="8" t="inlineStr">
        <is>
          <t>FN1</t>
        </is>
      </c>
      <c r="J419" s="8" t="inlineStr">
        <is>
          <t>AD</t>
        </is>
      </c>
      <c r="K419" s="8" t="inlineStr">
        <is>
          <t>Growth; Limbs; Nervous system; Skeletal</t>
        </is>
      </c>
      <c r="L419" s="8" t="n">
        <v>13</v>
      </c>
      <c r="M419" s="8" t="inlineStr">
        <is>
          <t>HP:0002650; HP:0003311; HP:0004322; HP:0003025; HP:0002970; HP:0003300; HP:0100864; HP:0003908; HP:0002515; HP:0002812; HP:0000768; HP:0002657; HP:0004603</t>
        </is>
      </c>
      <c r="N419" s="8" t="inlineStr">
        <is>
          <t>Yes</t>
        </is>
      </c>
      <c r="O419" s="8" t="n"/>
      <c r="P419" s="8" t="n"/>
    </row>
    <row r="420">
      <c r="A420" s="8" t="inlineStr">
        <is>
          <t>CILP_0419</t>
        </is>
      </c>
      <c r="B420" s="8" t="inlineStr">
        <is>
          <t>Spondylometaphyseal Dysplasia</t>
        </is>
      </c>
      <c r="C420" s="8" t="inlineStr">
        <is>
          <t>SMDS</t>
        </is>
      </c>
      <c r="D420" s="8" t="inlineStr">
        <is>
          <t>250220</t>
        </is>
      </c>
      <c r="E420" s="8" t="inlineStr">
        <is>
          <t>OMIM:250220</t>
        </is>
      </c>
      <c r="F420" s="8" t="inlineStr">
        <is>
          <t>OMIM phenotype entry</t>
        </is>
      </c>
      <c r="G420" s="8" t="inlineStr">
        <is>
          <t>Primary</t>
        </is>
      </c>
      <c r="H420" s="8" t="inlineStr">
        <is>
          <t>Skeletal ciliopathy</t>
        </is>
      </c>
      <c r="I420" s="8" t="inlineStr">
        <is>
          <t>GPX4</t>
        </is>
      </c>
      <c r="J420" s="8" t="inlineStr">
        <is>
          <t>AR</t>
        </is>
      </c>
      <c r="K420" s="8" t="inlineStr">
        <is>
          <t>Ears; Cardiovascular; Growth; Head and neck; Limbs; Nervous system; Skeletal; Skin</t>
        </is>
      </c>
      <c r="L420" s="8" t="n">
        <v>41</v>
      </c>
      <c r="M420" s="8" t="inlineStr">
        <is>
          <t>HP:0002663; HP:0004688; HP:0008905; HP:0003498; HP:0001156; HP:0003375; HP:0001252; HP:0000262; HP:0010049; HP:0001290; HP:0011675; HP:0009381; HP:0010230; HP:0007187; HP:0008798; HP:0000878; HP:0006059; HP:0000774; HP:0000773; HP:0002657; HP:0000358; HP:0009803; HP:0003026; HP:0012819; HP:0001762; HP:0003025; HP:0002132; HP:0001582; HP:0003021; HP:0000470; HP:0003085; HP:0031233; HP:0004491; HP:0005280; HP:0003180; HP:0000926; HP:0002869; HP:0000887; HP:0008786; HP:0001631; HP:0001831</t>
        </is>
      </c>
      <c r="N420" s="8" t="inlineStr">
        <is>
          <t>Yes</t>
        </is>
      </c>
      <c r="O420" s="8" t="n"/>
      <c r="P420" s="8" t="n"/>
    </row>
    <row r="421">
      <c r="A421" s="8" t="inlineStr">
        <is>
          <t>CILP_0420</t>
        </is>
      </c>
      <c r="B421" s="8" t="inlineStr">
        <is>
          <t>Spondylometaphyseal Dysplasia</t>
        </is>
      </c>
      <c r="C421" s="8" t="inlineStr">
        <is>
          <t>SMDAX</t>
        </is>
      </c>
      <c r="D421" s="8" t="inlineStr">
        <is>
          <t>602271</t>
        </is>
      </c>
      <c r="E421" s="8" t="inlineStr">
        <is>
          <t>OMIM:602271</t>
        </is>
      </c>
      <c r="F421" s="8" t="inlineStr">
        <is>
          <t>OMIM phenotype entry</t>
        </is>
      </c>
      <c r="G421" s="8" t="inlineStr">
        <is>
          <t>Primary</t>
        </is>
      </c>
      <c r="H421" s="8" t="inlineStr">
        <is>
          <t>Skeletal ciliopathy</t>
        </is>
      </c>
      <c r="I421" s="8" t="inlineStr">
        <is>
          <t>CFAP410</t>
        </is>
      </c>
      <c r="J421" s="8" t="inlineStr">
        <is>
          <t>AR</t>
        </is>
      </c>
      <c r="K421" s="8" t="inlineStr">
        <is>
          <t>Abdomen; Eyes; Cardiovascular; Growth; Genitourinary; Immune system; Limbs; Respiratory; Skeletal</t>
        </is>
      </c>
      <c r="L421" s="8" t="n">
        <v>22</v>
      </c>
      <c r="M421" s="8" t="inlineStr">
        <is>
          <t>HP:0003411; HP:0008905; HP:0004322; HP:0005257; HP:0003375; HP:0012207; HP:0100864; HP:0000639; HP:0002812; HP:0006532; HP:0000510; HP:0000774; HP:0002657; HP:0001744; HP:0003521; HP:0002650; HP:0002091; HP:0000907; HP:0000926; HP:0000546; HP:0000648; HP:0000548</t>
        </is>
      </c>
      <c r="N421" s="8" t="inlineStr">
        <is>
          <t>Yes</t>
        </is>
      </c>
      <c r="O421" s="8" t="n"/>
      <c r="P421" s="8" t="n"/>
    </row>
    <row r="422">
      <c r="A422" s="8" t="inlineStr">
        <is>
          <t>CILP_0421</t>
        </is>
      </c>
      <c r="B422" s="8" t="inlineStr">
        <is>
          <t>Spondylometaphyseal Dysplasia</t>
        </is>
      </c>
      <c r="C422" s="8" t="inlineStr">
        <is>
          <t>SPENCDI</t>
        </is>
      </c>
      <c r="D422" s="8" t="inlineStr">
        <is>
          <t>607944</t>
        </is>
      </c>
      <c r="E422" s="8" t="inlineStr">
        <is>
          <t>OMIM:607944</t>
        </is>
      </c>
      <c r="F422" s="8" t="inlineStr">
        <is>
          <t>OMIM phenotype entry</t>
        </is>
      </c>
      <c r="G422" s="8" t="inlineStr">
        <is>
          <t>Primary</t>
        </is>
      </c>
      <c r="H422" s="8" t="inlineStr">
        <is>
          <t>Skeletal ciliopathy</t>
        </is>
      </c>
      <c r="I422" s="8" t="inlineStr">
        <is>
          <t>ACP5</t>
        </is>
      </c>
      <c r="J422" s="8" t="inlineStr">
        <is>
          <t>AR</t>
        </is>
      </c>
      <c r="K422" s="8" t="inlineStr">
        <is>
          <t>Ears; Cardiovascular; Endocrine; Growth; Genitourinary; Immune system; Head and neck; Limbs; Nervous system; Metabolism; Respiratory; Skeletal; Skin</t>
        </is>
      </c>
      <c r="L422" s="8" t="n">
        <v>52</v>
      </c>
      <c r="M422" s="8" t="inlineStr">
        <is>
          <t>HP:0001256; HP:0005576; HP:0004322; HP:0001370; HP:0005374; HP:0100255; HP:0002938; HP:0001888; HP:0002657; HP:0007526; HP:0002751; HP:0001386; HP:0001264; HP:0005387; HP:0001263; HP:0011800; HP:0000926; HP:0000403; HP:0001973; HP:0001257; HP:0000369; HP:0001034; HP:0002960; HP:0003016; HP:0001552; HP:0000460; HP:0000262; HP:0003493; HP:0000979; HP:0100866; HP:0002716; HP:0002958; HP:0004979; HP:0002514; HP:0002478; HP:0001045; HP:0005403; HP:0003301; HP:0002650; HP:0002694; HP:0003025; HP:0030320; HP:0030880; HP:0005681; HP:0002090; HP:0002091; HP:0011108; HP:0000821; HP:0002725; HP:0002205; HP:0002007; HP:0001875</t>
        </is>
      </c>
      <c r="N422" s="8" t="inlineStr">
        <is>
          <t>Yes</t>
        </is>
      </c>
      <c r="O422" s="8" t="n"/>
      <c r="P422" s="8" t="n"/>
    </row>
    <row r="423">
      <c r="A423" s="8" t="inlineStr">
        <is>
          <t>CILP_0422</t>
        </is>
      </c>
      <c r="B423" s="8" t="inlineStr">
        <is>
          <t>Spondylometaphyseal Dysplasia</t>
        </is>
      </c>
      <c r="C423" s="8" t="inlineStr">
        <is>
          <t>SMDMDM</t>
        </is>
      </c>
      <c r="D423" s="8" t="inlineStr">
        <is>
          <t>613320</t>
        </is>
      </c>
      <c r="E423" s="8" t="inlineStr">
        <is>
          <t>OMIM:613320</t>
        </is>
      </c>
      <c r="F423" s="8" t="inlineStr">
        <is>
          <t>OMIM phenotype entry</t>
        </is>
      </c>
      <c r="G423" s="8" t="inlineStr">
        <is>
          <t>Primary</t>
        </is>
      </c>
      <c r="H423" s="8" t="inlineStr">
        <is>
          <t>Skeletal ciliopathy</t>
        </is>
      </c>
      <c r="I423" s="8" t="inlineStr">
        <is>
          <t>PAM16</t>
        </is>
      </c>
      <c r="J423" s="8" t="inlineStr">
        <is>
          <t>AR</t>
        </is>
      </c>
      <c r="K423" s="8" t="inlineStr">
        <is>
          <t>Ears; Cardiovascular; Growth; Head and neck; Limbs; Nervous system; Respiratory; Skeletal</t>
        </is>
      </c>
      <c r="L423" s="8" t="n">
        <v>40</v>
      </c>
      <c r="M423" s="8" t="inlineStr">
        <is>
          <t>HP:0002663; HP:0002983; HP:0004565; HP:0000463; HP:0002002; HP:0004322; HP:0001591; HP:0003177; HP:0003196; HP:0003175; HP:0011220; HP:0008551; HP:0008455; HP:0000239; HP:0002617; HP:0008897; HP:0000774; HP:0000311; HP:0000773; HP:0002657; HP:0008936; HP:0003026; HP:0002375; HP:0001640; HP:0002750; HP:0001263; HP:0003021; HP:0000470; HP:0002092; HP:0005280; HP:0003180; HP:0001518; HP:0000822; HP:0006387; HP:0008786; HP:0002007; HP:0002645; HP:0002789; HP:0000369; HP:0000445</t>
        </is>
      </c>
      <c r="N423" s="8" t="inlineStr">
        <is>
          <t>Yes</t>
        </is>
      </c>
      <c r="O423" s="8" t="n"/>
      <c r="P423" s="8" t="n"/>
    </row>
    <row r="424">
      <c r="A424" s="8" t="inlineStr">
        <is>
          <t>CILP_0423</t>
        </is>
      </c>
      <c r="B424" s="8" t="inlineStr">
        <is>
          <t>Spondylometaphyseal Dysplasia</t>
        </is>
      </c>
      <c r="C424" s="8" t="inlineStr">
        <is>
          <t>SMDP</t>
        </is>
      </c>
      <c r="D424" s="8" t="inlineStr">
        <is>
          <t>619638</t>
        </is>
      </c>
      <c r="E424" s="8" t="inlineStr">
        <is>
          <t>OMIM:619638</t>
        </is>
      </c>
      <c r="F424" s="8" t="inlineStr">
        <is>
          <t>OMIM phenotype entry</t>
        </is>
      </c>
      <c r="G424" s="8" t="inlineStr">
        <is>
          <t>Primary</t>
        </is>
      </c>
      <c r="H424" s="8" t="inlineStr">
        <is>
          <t>Skeletal ciliopathy</t>
        </is>
      </c>
      <c r="I424" s="8" t="inlineStr">
        <is>
          <t>PRKG2</t>
        </is>
      </c>
      <c r="J424" s="8" t="inlineStr">
        <is>
          <t>AR</t>
        </is>
      </c>
      <c r="K424" s="8" t="inlineStr">
        <is>
          <t>Abdomen; Eyes; Growth; Head and neck; Limbs; Skeletal</t>
        </is>
      </c>
      <c r="L424" s="8" t="n">
        <v>15</v>
      </c>
      <c r="M424" s="8" t="inlineStr">
        <is>
          <t>HP:0008905; HP:0002980; HP:0002750; HP:0011968; HP:0001252; HP:0000592; HP:0010047; HP:0011304; HP:0010044; HP:0000926; HP:0002942; HP:0002645; HP:0001763; HP:0000325; HP:0002753</t>
        </is>
      </c>
      <c r="N424" s="8" t="inlineStr">
        <is>
          <t>Yes</t>
        </is>
      </c>
      <c r="O424" s="8" t="n"/>
      <c r="P424" s="8" t="n"/>
    </row>
    <row r="425">
      <c r="A425" s="8" t="inlineStr">
        <is>
          <t>CILP_0424</t>
        </is>
      </c>
      <c r="B425" s="8" t="inlineStr">
        <is>
          <t>Stromme Syndrome</t>
        </is>
      </c>
      <c r="C425" s="8" t="inlineStr">
        <is>
          <t>STROMS</t>
        </is>
      </c>
      <c r="D425" s="8" t="inlineStr">
        <is>
          <t>243605</t>
        </is>
      </c>
      <c r="E425" s="8" t="inlineStr">
        <is>
          <t>OMIM:243605</t>
        </is>
      </c>
      <c r="F425" s="8" t="inlineStr">
        <is>
          <t>OMIM phenotype entry</t>
        </is>
      </c>
      <c r="G425" s="8" t="inlineStr">
        <is>
          <t>Primary</t>
        </is>
      </c>
      <c r="H425" s="8" t="inlineStr">
        <is>
          <t>Atypical / secondary ciliopathy</t>
        </is>
      </c>
      <c r="I425" s="8" t="inlineStr">
        <is>
          <t>CENPF</t>
        </is>
      </c>
      <c r="J425" s="8" t="inlineStr">
        <is>
          <t>AR</t>
        </is>
      </c>
      <c r="K425" s="8" t="inlineStr">
        <is>
          <t>Abdomen; Eyes; Ears; Cardiovascular; Genitourinary; Immune system; Head and neck; Limbs; Nervous system; Skeletal</t>
        </is>
      </c>
      <c r="L425" s="8" t="n">
        <v>30</v>
      </c>
      <c r="M425" s="8" t="inlineStr">
        <is>
          <t>HP:0005235; HP:0003198; HP:0002000; HP:0001274; HP:0000482; HP:0012841; HP:0000518; HP:0000316; HP:0000612; HP:0000238; HP:0000659; HP:0001747; HP:0001320; HP:0000154; HP:0000175; HP:0000252; HP:0000431; HP:0001321; HP:0000490; HP:0012584; HP:0000609; HP:0100258; HP:0000426; HP:0000568; HP:0000647; HP:0002247; HP:0002566; HP:0000369; HP:0000347; HP:0000126</t>
        </is>
      </c>
      <c r="N425" s="8" t="inlineStr">
        <is>
          <t>No</t>
        </is>
      </c>
      <c r="O425" s="8" t="inlineStr">
        <is>
          <t>Disease family with fewer than 5 entries</t>
        </is>
      </c>
      <c r="P425" s="8" t="n"/>
    </row>
    <row r="426">
      <c r="A426" s="8" t="inlineStr">
        <is>
          <t>CILP_0425</t>
        </is>
      </c>
      <c r="B426" s="8" t="inlineStr">
        <is>
          <t>Townes-Brocks Syndrome</t>
        </is>
      </c>
      <c r="C426" s="8" t="inlineStr">
        <is>
          <t>TBS1</t>
        </is>
      </c>
      <c r="D426" s="8" t="inlineStr">
        <is>
          <t>107480</t>
        </is>
      </c>
      <c r="E426" s="8" t="inlineStr">
        <is>
          <t>OMIM:107480</t>
        </is>
      </c>
      <c r="F426" s="8" t="inlineStr">
        <is>
          <t>OMIM phenotype entry</t>
        </is>
      </c>
      <c r="G426" s="8" t="inlineStr">
        <is>
          <t>Secondary</t>
        </is>
      </c>
      <c r="H426" s="8" t="inlineStr">
        <is>
          <t>Atypical / secondary ciliopathy</t>
        </is>
      </c>
      <c r="I426" s="8" t="inlineStr">
        <is>
          <t>SALL1</t>
        </is>
      </c>
      <c r="J426" s="8" t="inlineStr">
        <is>
          <t>AD</t>
        </is>
      </c>
      <c r="K426" s="8" t="inlineStr">
        <is>
          <t>Abdomen; Eyes; Ears; Cardiovascular; Endocrine; Growth; Genitourinary; Head and neck; Limbs; Nervous system; Respiratory; Skeletal; Skin</t>
        </is>
      </c>
      <c r="L426" s="8" t="n">
        <v>56</v>
      </c>
      <c r="M426" s="8" t="inlineStr">
        <is>
          <t>HP:0011939; HP:0002025; HP:0001177; HP:0002023; HP:0002144; HP:0000089; HP:0000083; HP:0002020; HP:0010331; HP:0000238; HP:0009944; HP:0001249; HP:0000252; HP:0000453; HP:0004453; HP:0001263; HP:0004692; HP:0004691; HP:0010711; HP:0010481; HP:0100015; HP:0000407; HP:0001537; HP:0009779; HP:0000048; HP:0000400; HP:0000047; HP:0000003; HP:0000567; HP:0000143; HP:0001199; HP:0004467; HP:0000384; HP:0030676; HP:0010743; HP:0001629; HP:0008551; HP:0006179; HP:0000136; HP:0009921; HP:0001864; HP:0000110; HP:0002575; HP:0001440; HP:0000076; HP:0001883; HP:0001360; HP:0000394; HP:0004792; HP:0011304; HP:0001518; HP:0001636; HP:0000821; HP:0001631; HP:0000028; HP:0002247</t>
        </is>
      </c>
      <c r="N426" s="8" t="inlineStr">
        <is>
          <t>No</t>
        </is>
      </c>
      <c r="O426" s="8" t="inlineStr">
        <is>
          <t>Disease family with fewer than 5 entries</t>
        </is>
      </c>
      <c r="P426" s="8" t="n"/>
    </row>
    <row r="427">
      <c r="A427" s="8" t="inlineStr">
        <is>
          <t>CILP_0426</t>
        </is>
      </c>
      <c r="B427" s="8" t="inlineStr">
        <is>
          <t>Townes-Brocks Syndrome</t>
        </is>
      </c>
      <c r="C427" s="8" t="inlineStr">
        <is>
          <t>TBS</t>
        </is>
      </c>
      <c r="D427" s="8" t="n"/>
      <c r="E427" s="8" t="inlineStr">
        <is>
          <t>ORPHA:857</t>
        </is>
      </c>
      <c r="F427" s="8" t="inlineStr">
        <is>
          <t>Orphanet entry (matched by disease name)</t>
        </is>
      </c>
      <c r="G427" s="8" t="inlineStr">
        <is>
          <t>Secondary</t>
        </is>
      </c>
      <c r="H427" s="8" t="inlineStr">
        <is>
          <t>Atypical / secondary ciliopathy</t>
        </is>
      </c>
      <c r="I427" s="8" t="inlineStr">
        <is>
          <t>LUZP1</t>
        </is>
      </c>
      <c r="J427" s="8" t="inlineStr">
        <is>
          <t>Autosomal dominant</t>
        </is>
      </c>
      <c r="K427" s="8" t="inlineStr">
        <is>
          <t>Abdomen; Eyes; Ears; Cardiovascular; Endocrine; Growth; Genitourinary; Head and neck; Limbs; Nervous system; Skeletal; Skin</t>
        </is>
      </c>
      <c r="L427" s="8" t="n">
        <v>66</v>
      </c>
      <c r="M427" s="8" t="inlineStr">
        <is>
          <t>HP:0000377; HP:0000143; HP:0000384; HP:0001177; HP:0001199; HP:0002023; HP:0004792; HP:0000028; HP:0000083; HP:0000365; HP:0000396; HP:0001482; HP:0001545; HP:0001760; HP:0001763; HP:0001863; HP:0002019; HP:0004209; HP:0008551; HP:0000047; HP:0000048; HP:0000076; HP:0000086; HP:0000089; HP:0000130; HP:0000142; HP:0000154; HP:0000324; HP:0000486; HP:0000504; HP:0000518; HP:0000567; HP:0000568; HP:0000581; HP:0000612; HP:0000772; HP:0000821; HP:0000823; HP:0001140; HP:0001249; HP:0001274; HP:0001508; HP:0001631; HP:0001636; HP:0001641; HP:0001643; HP:0001671; HP:0001770; HP:0002308; HP:0002607; HP:0003468; HP:0004322; HP:0005562; HP:0006824; HP:0008736; HP:0009465; HP:0009912; HP:0009944; HP:0010059; HP:0010331; HP:0010481; HP:0010760; HP:0011304; HP:0012210; HP:0030680; HP:0100559</t>
        </is>
      </c>
      <c r="N427" s="8" t="inlineStr">
        <is>
          <t>No</t>
        </is>
      </c>
      <c r="O427" s="8" t="inlineStr">
        <is>
          <t>Disease family with fewer than 5 entries</t>
        </is>
      </c>
      <c r="P427" s="8" t="n"/>
    </row>
    <row r="428">
      <c r="A428" s="8" t="inlineStr">
        <is>
          <t>CILP_0427</t>
        </is>
      </c>
      <c r="B428" s="8" t="inlineStr">
        <is>
          <t>Usher Syndrome</t>
        </is>
      </c>
      <c r="C428" s="8" t="inlineStr">
        <is>
          <t>USH1B</t>
        </is>
      </c>
      <c r="D428" s="8" t="inlineStr">
        <is>
          <t>276900</t>
        </is>
      </c>
      <c r="E428" s="8" t="inlineStr">
        <is>
          <t>OMIM:276900</t>
        </is>
      </c>
      <c r="F428" s="8" t="inlineStr">
        <is>
          <t>OMIM phenotype entry</t>
        </is>
      </c>
      <c r="G428" s="8" t="inlineStr">
        <is>
          <t>Secondary</t>
        </is>
      </c>
      <c r="H428" s="8" t="inlineStr">
        <is>
          <t>Retinal ciliopathy</t>
        </is>
      </c>
      <c r="I428" s="8" t="inlineStr">
        <is>
          <t>MYO7A</t>
        </is>
      </c>
      <c r="J428" s="8" t="inlineStr">
        <is>
          <t>AR</t>
        </is>
      </c>
      <c r="K428" s="8" t="inlineStr">
        <is>
          <t>Eyes; Ears; Nervous system</t>
        </is>
      </c>
      <c r="L428" s="8" t="n">
        <v>8</v>
      </c>
      <c r="M428" s="8" t="inlineStr">
        <is>
          <t>HP:0000572; HP:0000550; HP:0000639; HP:0000407; HP:0001270; HP:0008555; HP:0000510; HP:0000512</t>
        </is>
      </c>
      <c r="N428" s="8" t="inlineStr">
        <is>
          <t>Yes</t>
        </is>
      </c>
      <c r="O428" s="8" t="n"/>
      <c r="P428" s="8" t="n"/>
    </row>
    <row r="429">
      <c r="A429" s="8" t="inlineStr">
        <is>
          <t>CILP_0428</t>
        </is>
      </c>
      <c r="B429" s="8" t="inlineStr">
        <is>
          <t>Usher Syndrome</t>
        </is>
      </c>
      <c r="C429" s="8" t="inlineStr">
        <is>
          <t>USH2A</t>
        </is>
      </c>
      <c r="D429" s="8" t="inlineStr">
        <is>
          <t>276901</t>
        </is>
      </c>
      <c r="E429" s="8" t="inlineStr">
        <is>
          <t>OMIM:276901</t>
        </is>
      </c>
      <c r="F429" s="8" t="inlineStr">
        <is>
          <t>OMIM phenotype entry</t>
        </is>
      </c>
      <c r="G429" s="8" t="inlineStr">
        <is>
          <t>Secondary</t>
        </is>
      </c>
      <c r="H429" s="8" t="inlineStr">
        <is>
          <t>Retinal ciliopathy</t>
        </is>
      </c>
      <c r="I429" s="8" t="inlineStr">
        <is>
          <t>USH2A</t>
        </is>
      </c>
      <c r="J429" s="8" t="inlineStr">
        <is>
          <t>AR</t>
        </is>
      </c>
      <c r="K429" s="8" t="inlineStr">
        <is>
          <t>Eyes; Ears</t>
        </is>
      </c>
      <c r="L429" s="8" t="n">
        <v>2</v>
      </c>
      <c r="M429" s="8" t="inlineStr">
        <is>
          <t>HP:0000510; HP:0008527</t>
        </is>
      </c>
      <c r="N429" s="8" t="inlineStr">
        <is>
          <t>Yes</t>
        </is>
      </c>
      <c r="O429" s="8" t="n"/>
      <c r="P429" s="8" t="n"/>
    </row>
    <row r="430">
      <c r="A430" s="8" t="inlineStr">
        <is>
          <t>CILP_0429</t>
        </is>
      </c>
      <c r="B430" s="8" t="inlineStr">
        <is>
          <t>Usher Syndrome</t>
        </is>
      </c>
      <c r="C430" s="8" t="inlineStr">
        <is>
          <t>USH3A</t>
        </is>
      </c>
      <c r="D430" s="8" t="inlineStr">
        <is>
          <t>276902</t>
        </is>
      </c>
      <c r="E430" s="8" t="inlineStr">
        <is>
          <t>OMIM:276902</t>
        </is>
      </c>
      <c r="F430" s="8" t="inlineStr">
        <is>
          <t>OMIM phenotype entry</t>
        </is>
      </c>
      <c r="G430" s="8" t="inlineStr">
        <is>
          <t>Secondary</t>
        </is>
      </c>
      <c r="H430" s="8" t="inlineStr">
        <is>
          <t>Retinal ciliopathy</t>
        </is>
      </c>
      <c r="I430" s="8" t="inlineStr">
        <is>
          <t>CLRN1</t>
        </is>
      </c>
      <c r="J430" s="8" t="inlineStr">
        <is>
          <t>AR</t>
        </is>
      </c>
      <c r="K430" s="8" t="inlineStr">
        <is>
          <t>Eyes; Ears</t>
        </is>
      </c>
      <c r="L430" s="8" t="n">
        <v>6</v>
      </c>
      <c r="M430" s="8" t="inlineStr">
        <is>
          <t>HP:0000662; HP:0001751; HP:0001123; HP:0000407; HP:0007663; HP:0000510</t>
        </is>
      </c>
      <c r="N430" s="8" t="inlineStr">
        <is>
          <t>Yes</t>
        </is>
      </c>
      <c r="O430" s="8" t="n"/>
      <c r="P430" s="8" t="n"/>
    </row>
    <row r="431">
      <c r="A431" s="8" t="inlineStr">
        <is>
          <t>CILP_0430</t>
        </is>
      </c>
      <c r="B431" s="8" t="inlineStr">
        <is>
          <t>Usher Syndrome</t>
        </is>
      </c>
      <c r="C431" s="8" t="inlineStr">
        <is>
          <t>USH1C</t>
        </is>
      </c>
      <c r="D431" s="8" t="inlineStr">
        <is>
          <t>276904</t>
        </is>
      </c>
      <c r="E431" s="8" t="inlineStr">
        <is>
          <t>OMIM:276904</t>
        </is>
      </c>
      <c r="F431" s="8" t="inlineStr">
        <is>
          <t>OMIM phenotype entry</t>
        </is>
      </c>
      <c r="G431" s="8" t="inlineStr">
        <is>
          <t>Secondary</t>
        </is>
      </c>
      <c r="H431" s="8" t="inlineStr">
        <is>
          <t>Retinal ciliopathy</t>
        </is>
      </c>
      <c r="I431" s="8" t="inlineStr">
        <is>
          <t>USH1C</t>
        </is>
      </c>
      <c r="J431" s="8" t="inlineStr">
        <is>
          <t>AR</t>
        </is>
      </c>
      <c r="K431" s="8" t="inlineStr">
        <is>
          <t>Eyes; Ears</t>
        </is>
      </c>
      <c r="L431" s="8" t="n">
        <v>3</v>
      </c>
      <c r="M431" s="8" t="inlineStr">
        <is>
          <t>HP:0001756; HP:0000510; HP:0008527</t>
        </is>
      </c>
      <c r="N431" s="8" t="inlineStr">
        <is>
          <t>No</t>
        </is>
      </c>
      <c r="O431" s="8" t="inlineStr">
        <is>
          <t>Exact duplicate of CILP_0428 (identical features, same family)</t>
        </is>
      </c>
      <c r="P431" s="8" t="n"/>
    </row>
    <row r="432">
      <c r="A432" s="8" t="inlineStr">
        <is>
          <t>CILP_0431</t>
        </is>
      </c>
      <c r="B432" s="8" t="inlineStr">
        <is>
          <t>Usher Syndrome</t>
        </is>
      </c>
      <c r="C432" s="8" t="inlineStr">
        <is>
          <t>USH1D</t>
        </is>
      </c>
      <c r="D432" s="8" t="inlineStr">
        <is>
          <t>601067</t>
        </is>
      </c>
      <c r="E432" s="8" t="inlineStr">
        <is>
          <t>OMIM:601067</t>
        </is>
      </c>
      <c r="F432" s="8" t="inlineStr">
        <is>
          <t>OMIM phenotype entry</t>
        </is>
      </c>
      <c r="G432" s="8" t="inlineStr">
        <is>
          <t>Secondary</t>
        </is>
      </c>
      <c r="H432" s="8" t="inlineStr">
        <is>
          <t>Retinal ciliopathy</t>
        </is>
      </c>
      <c r="I432" s="8" t="inlineStr">
        <is>
          <t>CDH23</t>
        </is>
      </c>
      <c r="J432" s="8" t="inlineStr">
        <is>
          <t>AR</t>
        </is>
      </c>
      <c r="K432" s="8" t="inlineStr">
        <is>
          <t>Eyes; Ears</t>
        </is>
      </c>
      <c r="L432" s="8" t="n">
        <v>3</v>
      </c>
      <c r="M432" s="8" t="inlineStr">
        <is>
          <t>HP:0001751; HP:0000365; HP:0000510</t>
        </is>
      </c>
      <c r="N432" s="8" t="inlineStr">
        <is>
          <t>Yes</t>
        </is>
      </c>
      <c r="O432" s="8" t="n"/>
      <c r="P432" s="8" t="n"/>
    </row>
    <row r="433">
      <c r="A433" s="8" t="inlineStr">
        <is>
          <t>CILP_0432</t>
        </is>
      </c>
      <c r="B433" s="8" t="inlineStr">
        <is>
          <t>Usher Syndrome</t>
        </is>
      </c>
      <c r="C433" s="8" t="inlineStr">
        <is>
          <t>USH1F</t>
        </is>
      </c>
      <c r="D433" s="8" t="inlineStr">
        <is>
          <t>602083</t>
        </is>
      </c>
      <c r="E433" s="8" t="inlineStr">
        <is>
          <t>OMIM:602083</t>
        </is>
      </c>
      <c r="F433" s="8" t="inlineStr">
        <is>
          <t>OMIM phenotype entry</t>
        </is>
      </c>
      <c r="G433" s="8" t="inlineStr">
        <is>
          <t>Secondary</t>
        </is>
      </c>
      <c r="H433" s="8" t="inlineStr">
        <is>
          <t>Retinal ciliopathy</t>
        </is>
      </c>
      <c r="I433" s="8" t="inlineStr">
        <is>
          <t>PCDH15</t>
        </is>
      </c>
      <c r="J433" s="8" t="inlineStr">
        <is>
          <t>AR</t>
        </is>
      </c>
      <c r="K433" s="8" t="inlineStr">
        <is>
          <t>Eyes; Ears; Nervous system</t>
        </is>
      </c>
      <c r="L433" s="8" t="n">
        <v>5</v>
      </c>
      <c r="M433" s="8" t="inlineStr">
        <is>
          <t>HP:0001751; HP:0031629; HP:0001270; HP:0000510; HP:0008527</t>
        </is>
      </c>
      <c r="N433" s="8" t="inlineStr">
        <is>
          <t>Yes</t>
        </is>
      </c>
      <c r="O433" s="8" t="n"/>
      <c r="P433" s="8" t="n"/>
    </row>
    <row r="434">
      <c r="A434" s="8" t="inlineStr">
        <is>
          <t>CILP_0433</t>
        </is>
      </c>
      <c r="B434" s="8" t="inlineStr">
        <is>
          <t>Usher Syndrome</t>
        </is>
      </c>
      <c r="C434" s="8" t="inlineStr">
        <is>
          <t>USH2C</t>
        </is>
      </c>
      <c r="D434" s="8" t="inlineStr">
        <is>
          <t>605472</t>
        </is>
      </c>
      <c r="E434" s="8" t="inlineStr">
        <is>
          <t>OMIM:605472</t>
        </is>
      </c>
      <c r="F434" s="8" t="inlineStr">
        <is>
          <t>OMIM phenotype entry</t>
        </is>
      </c>
      <c r="G434" s="8" t="inlineStr">
        <is>
          <t>Secondary</t>
        </is>
      </c>
      <c r="H434" s="8" t="inlineStr">
        <is>
          <t>Retinal ciliopathy</t>
        </is>
      </c>
      <c r="I434" s="8" t="inlineStr">
        <is>
          <t>ADGRV1; PDZD7</t>
        </is>
      </c>
      <c r="J434" s="8" t="inlineStr">
        <is>
          <t>AR</t>
        </is>
      </c>
      <c r="K434" s="8" t="inlineStr">
        <is>
          <t>Eyes; Ears</t>
        </is>
      </c>
      <c r="L434" s="8" t="n">
        <v>2</v>
      </c>
      <c r="M434" s="8" t="inlineStr">
        <is>
          <t>HP:0000510; HP:0008527</t>
        </is>
      </c>
      <c r="N434" s="8" t="inlineStr">
        <is>
          <t>No</t>
        </is>
      </c>
      <c r="O434" s="8" t="inlineStr">
        <is>
          <t>Exact duplicate of CILP_0428 (identical features, same family)</t>
        </is>
      </c>
      <c r="P434" s="8" t="n"/>
    </row>
    <row r="435">
      <c r="A435" s="8" t="inlineStr">
        <is>
          <t>CILP_0434</t>
        </is>
      </c>
      <c r="B435" s="8" t="inlineStr">
        <is>
          <t>Usher Syndrome</t>
        </is>
      </c>
      <c r="C435" s="8" t="inlineStr">
        <is>
          <t>USH1G</t>
        </is>
      </c>
      <c r="D435" s="8" t="inlineStr">
        <is>
          <t>606943</t>
        </is>
      </c>
      <c r="E435" s="8" t="inlineStr">
        <is>
          <t>OMIM:606943</t>
        </is>
      </c>
      <c r="F435" s="8" t="inlineStr">
        <is>
          <t>OMIM phenotype entry</t>
        </is>
      </c>
      <c r="G435" s="8" t="inlineStr">
        <is>
          <t>Secondary</t>
        </is>
      </c>
      <c r="H435" s="8" t="inlineStr">
        <is>
          <t>Retinal ciliopathy</t>
        </is>
      </c>
      <c r="I435" s="8" t="inlineStr">
        <is>
          <t>USH1G</t>
        </is>
      </c>
      <c r="J435" s="8" t="inlineStr">
        <is>
          <t>AR</t>
        </is>
      </c>
      <c r="K435" s="8" t="inlineStr">
        <is>
          <t>Eyes; Ears; Head and neck; Skeletal</t>
        </is>
      </c>
      <c r="L435" s="8" t="n">
        <v>4</v>
      </c>
      <c r="M435" s="8" t="inlineStr">
        <is>
          <t>HP:0001751; HP:0000407; HP:0000510; HP:0004646</t>
        </is>
      </c>
      <c r="N435" s="8" t="inlineStr">
        <is>
          <t>Yes</t>
        </is>
      </c>
      <c r="O435" s="8" t="n"/>
      <c r="P435" s="8" t="n"/>
    </row>
    <row r="436">
      <c r="A436" s="8" t="inlineStr">
        <is>
          <t>CILP_0435</t>
        </is>
      </c>
      <c r="B436" s="8" t="inlineStr">
        <is>
          <t>Usher Syndrome</t>
        </is>
      </c>
      <c r="C436" s="8" t="inlineStr">
        <is>
          <t>USH2D</t>
        </is>
      </c>
      <c r="D436" s="8" t="inlineStr">
        <is>
          <t>611383</t>
        </is>
      </c>
      <c r="E436" s="8" t="inlineStr">
        <is>
          <t>OMIM:611383</t>
        </is>
      </c>
      <c r="F436" s="8" t="inlineStr">
        <is>
          <t>OMIM phenotype entry</t>
        </is>
      </c>
      <c r="G436" s="8" t="inlineStr">
        <is>
          <t>Secondary</t>
        </is>
      </c>
      <c r="H436" s="8" t="inlineStr">
        <is>
          <t>Retinal ciliopathy</t>
        </is>
      </c>
      <c r="I436" s="8" t="inlineStr">
        <is>
          <t>WHRN</t>
        </is>
      </c>
      <c r="J436" s="8" t="inlineStr">
        <is>
          <t>AR</t>
        </is>
      </c>
      <c r="K436" s="8" t="inlineStr">
        <is>
          <t>Eyes; Ears</t>
        </is>
      </c>
      <c r="L436" s="8" t="n">
        <v>4</v>
      </c>
      <c r="M436" s="8" t="inlineStr">
        <is>
          <t>HP:0000365; HP:0001751; HP:0000662; HP:0000510</t>
        </is>
      </c>
      <c r="N436" s="8" t="inlineStr">
        <is>
          <t>Yes</t>
        </is>
      </c>
      <c r="O436" s="8" t="n"/>
      <c r="P436" s="8" t="n"/>
    </row>
    <row r="437">
      <c r="A437" s="8" t="inlineStr">
        <is>
          <t>CILP_0436</t>
        </is>
      </c>
      <c r="B437" s="8" t="inlineStr">
        <is>
          <t>Usher Syndrome</t>
        </is>
      </c>
      <c r="C437" s="8" t="inlineStr">
        <is>
          <t>USH3B</t>
        </is>
      </c>
      <c r="D437" s="8" t="inlineStr">
        <is>
          <t>614504</t>
        </is>
      </c>
      <c r="E437" s="8" t="inlineStr">
        <is>
          <t>OMIM:614504</t>
        </is>
      </c>
      <c r="F437" s="8" t="inlineStr">
        <is>
          <t>OMIM phenotype entry</t>
        </is>
      </c>
      <c r="G437" s="8" t="inlineStr">
        <is>
          <t>Secondary</t>
        </is>
      </c>
      <c r="H437" s="8" t="inlineStr">
        <is>
          <t>Retinal ciliopathy</t>
        </is>
      </c>
      <c r="I437" s="8" t="inlineStr">
        <is>
          <t>HARS1</t>
        </is>
      </c>
      <c r="J437" s="8" t="inlineStr">
        <is>
          <t>AR</t>
        </is>
      </c>
      <c r="K437" s="8" t="inlineStr">
        <is>
          <t>Eyes; Ears; Cardiovascular; Nervous system</t>
        </is>
      </c>
      <c r="L437" s="8" t="n">
        <v>10</v>
      </c>
      <c r="M437" s="8" t="inlineStr">
        <is>
          <t>HP:0007083; HP:0000365; HP:0002078; HP:0000613; HP:0002194; HP:0000505; HP:0000543; HP:0007843; HP:0011504; HP:0000666</t>
        </is>
      </c>
      <c r="N437" s="8" t="inlineStr">
        <is>
          <t>Yes</t>
        </is>
      </c>
      <c r="O437" s="8" t="n"/>
      <c r="P437" s="8" t="n"/>
    </row>
    <row r="438">
      <c r="A438" s="8" t="inlineStr">
        <is>
          <t>CILP_0437</t>
        </is>
      </c>
      <c r="B438" s="8" t="inlineStr">
        <is>
          <t>Usher Syndrome</t>
        </is>
      </c>
      <c r="C438" s="8" t="inlineStr">
        <is>
          <t>USH1J</t>
        </is>
      </c>
      <c r="D438" s="8" t="inlineStr">
        <is>
          <t>614869</t>
        </is>
      </c>
      <c r="E438" s="8" t="inlineStr">
        <is>
          <t>ORPHA:886</t>
        </is>
      </c>
      <c r="F438" s="8" t="inlineStr">
        <is>
          <t>Orphanet entry (matched by disease name)</t>
        </is>
      </c>
      <c r="G438" s="8" t="inlineStr">
        <is>
          <t>Secondary</t>
        </is>
      </c>
      <c r="H438" s="8" t="inlineStr">
        <is>
          <t>Retinal ciliopathy</t>
        </is>
      </c>
      <c r="I438" s="8" t="inlineStr">
        <is>
          <t>CIB2</t>
        </is>
      </c>
      <c r="J438" s="8" t="inlineStr">
        <is>
          <t>Needs curation</t>
        </is>
      </c>
      <c r="K438" s="8" t="inlineStr">
        <is>
          <t>Eyes; Ears; Cardiovascular; Head and neck; Nervous system; Skeletal</t>
        </is>
      </c>
      <c r="L438" s="8" t="n">
        <v>37</v>
      </c>
      <c r="M438" s="8" t="inlineStr">
        <is>
          <t>HP:0000407; HP:0000505; HP:0000512; HP:0000529; HP:0000618; HP:0000662; HP:0001123; HP:0001751; HP:0007703; HP:0008568; HP:0000518; HP:0000545; HP:0001251; HP:0008499; HP:0000360; HP:0000483; HP:0000639; HP:0000670; HP:0000682; HP:0000691; HP:0000709; HP:0000716; HP:0000738; HP:0000739; HP:0001639; HP:0002120; HP:0002194; HP:0002312; HP:0003198; HP:0003457; HP:0007360; HP:0007994; HP:0008947; HP:0010780; HP:0011025; HP:0011073; HP:0031936</t>
        </is>
      </c>
      <c r="N438" s="8" t="inlineStr">
        <is>
          <t>Yes</t>
        </is>
      </c>
      <c r="O438" s="8" t="n"/>
      <c r="P438" s="8" t="n"/>
    </row>
    <row r="439">
      <c r="A439" s="8" t="inlineStr">
        <is>
          <t>CILP_0438</t>
        </is>
      </c>
      <c r="B439" s="8" t="inlineStr">
        <is>
          <t>Usher Syndrome</t>
        </is>
      </c>
      <c r="C439" s="8" t="inlineStr">
        <is>
          <t>USH4</t>
        </is>
      </c>
      <c r="D439" s="8" t="inlineStr">
        <is>
          <t>618144</t>
        </is>
      </c>
      <c r="E439" s="8" t="inlineStr">
        <is>
          <t>OMIM:618144</t>
        </is>
      </c>
      <c r="F439" s="8" t="inlineStr">
        <is>
          <t>OMIM phenotype entry</t>
        </is>
      </c>
      <c r="G439" s="8" t="inlineStr">
        <is>
          <t>Secondary</t>
        </is>
      </c>
      <c r="H439" s="8" t="inlineStr">
        <is>
          <t>Retinal ciliopathy</t>
        </is>
      </c>
      <c r="I439" s="8" t="inlineStr">
        <is>
          <t>ARSG</t>
        </is>
      </c>
      <c r="J439" s="8" t="inlineStr">
        <is>
          <t>AR</t>
        </is>
      </c>
      <c r="K439" s="8" t="inlineStr">
        <is>
          <t>Eyes; Ears</t>
        </is>
      </c>
      <c r="L439" s="8" t="n">
        <v>10</v>
      </c>
      <c r="M439" s="8" t="inlineStr">
        <is>
          <t>HP:0001133; HP:0007737; HP:0001751; HP:0000662; HP:0030631; HP:0000408; HP:0000407; HP:0000546; HP:0030529; HP:0001105</t>
        </is>
      </c>
      <c r="N439" s="8" t="inlineStr">
        <is>
          <t>Yes</t>
        </is>
      </c>
      <c r="O439" s="8" t="n"/>
      <c r="P439" s="8" t="n"/>
    </row>
    <row r="440">
      <c r="A440" s="8" t="inlineStr">
        <is>
          <t>CILP_0439</t>
        </is>
      </c>
      <c r="B440" s="8" t="inlineStr">
        <is>
          <t>Visceral Heterotaxy</t>
        </is>
      </c>
      <c r="C440" s="8" t="inlineStr">
        <is>
          <t>HTX5</t>
        </is>
      </c>
      <c r="D440" s="8" t="inlineStr">
        <is>
          <t>270100</t>
        </is>
      </c>
      <c r="E440" s="8" t="inlineStr">
        <is>
          <t>OMIM:270100</t>
        </is>
      </c>
      <c r="F440" s="8" t="inlineStr">
        <is>
          <t>OMIM phenotype entry</t>
        </is>
      </c>
      <c r="G440" s="8" t="inlineStr">
        <is>
          <t>Secondary</t>
        </is>
      </c>
      <c r="H440" s="8" t="inlineStr">
        <is>
          <t>Motile cilia / laterality</t>
        </is>
      </c>
      <c r="I440" s="8" t="inlineStr">
        <is>
          <t>NODAL</t>
        </is>
      </c>
      <c r="J440" s="8" t="inlineStr">
        <is>
          <t>AD</t>
        </is>
      </c>
      <c r="K440" s="8" t="inlineStr">
        <is>
          <t>Abdomen; Cardiovascular; Growth; Genitourinary; Immune system; Nervous system; Respiratory; Skeletal</t>
        </is>
      </c>
      <c r="L440" s="8" t="n">
        <v>30</v>
      </c>
      <c r="M440" s="8" t="inlineStr">
        <is>
          <t>HP:0001750; HP:0001651; HP:0000089; HP:0001272; HP:0011699; HP:0011555; HP:0031565; HP:0010305; HP:0031348; HP:0011536; HP:0001629; HP:0001746; HP:0006695; HP:0004935; HP:0001643; HP:0002059; HP:0001321; HP:0003363; HP:0000073; HP:0004970; HP:0001680; HP:0000071; HP:0010773; HP:0005160; HP:0011861; HP:0001719; HP:0001511; HP:0001631; HP:0002247; HP:0002566</t>
        </is>
      </c>
      <c r="N440" s="8" t="inlineStr">
        <is>
          <t>Yes</t>
        </is>
      </c>
      <c r="O440" s="8" t="n"/>
      <c r="P440" s="8" t="n"/>
    </row>
    <row r="441">
      <c r="A441" s="8" t="inlineStr">
        <is>
          <t>CILP_0440</t>
        </is>
      </c>
      <c r="B441" s="8" t="inlineStr">
        <is>
          <t>Visceral Heterotaxy</t>
        </is>
      </c>
      <c r="C441" s="8" t="inlineStr">
        <is>
          <t>HTX1</t>
        </is>
      </c>
      <c r="D441" s="8" t="inlineStr">
        <is>
          <t>306955</t>
        </is>
      </c>
      <c r="E441" s="8" t="inlineStr">
        <is>
          <t>OMIM:306955</t>
        </is>
      </c>
      <c r="F441" s="8" t="inlineStr">
        <is>
          <t>OMIM phenotype entry</t>
        </is>
      </c>
      <c r="G441" s="8" t="inlineStr">
        <is>
          <t>Secondary</t>
        </is>
      </c>
      <c r="H441" s="8" t="inlineStr">
        <is>
          <t>Motile cilia / laterality</t>
        </is>
      </c>
      <c r="I441" s="8" t="inlineStr">
        <is>
          <t>ZIC3</t>
        </is>
      </c>
      <c r="J441" s="8" t="inlineStr">
        <is>
          <t>XLR</t>
        </is>
      </c>
      <c r="K441" s="8" t="inlineStr">
        <is>
          <t>Abdomen; Eyes; Ears; Cardiovascular; Growth; Genitourinary; Immune system; Limbs; Nervous system; Respiratory; Skeletal; Skin</t>
        </is>
      </c>
      <c r="L441" s="8" t="n">
        <v>53</v>
      </c>
      <c r="M441" s="8" t="inlineStr">
        <is>
          <t>HP:0001374; HP:0002023; HP:0001651; HP:0000085; HP:0011536; HP:0031348; HP:0012304; HP:0000316; HP:0001800; HP:0000238; HP:0001643; HP:0003305; HP:0001642; HP:0002475; HP:0003363; HP:0011565; HP:0033379; HP:0001539; HP:0000961; HP:0000369; HP:0001655; HP:0001776; HP:0001674; HP:0001750; HP:0002240; HP:0004383; HP:0010305; HP:0001629; HP:0001508; HP:0012890; HP:0011560; HP:0001669; HP:0001746; HP:0006695; HP:0001748; HP:0003026; HP:0002410; HP:0001682; HP:0001561; HP:0001321; HP:0001640; HP:0002098; HP:0001680; HP:0005160; HP:0011861; HP:0001719; HP:0001718; HP:0011670; HP:0005912; HP:0001631; HP:0000105; HP:0002247; HP:0000104</t>
        </is>
      </c>
      <c r="N441" s="8" t="inlineStr">
        <is>
          <t>Yes</t>
        </is>
      </c>
      <c r="O441" s="8" t="n"/>
      <c r="P441" s="8" t="n"/>
    </row>
    <row r="442">
      <c r="A442" s="8" t="inlineStr">
        <is>
          <t>CILP_0441</t>
        </is>
      </c>
      <c r="B442" s="8" t="inlineStr">
        <is>
          <t>Visceral Heterotaxy</t>
        </is>
      </c>
      <c r="C442" s="8" t="inlineStr">
        <is>
          <t>HTX2</t>
        </is>
      </c>
      <c r="D442" s="8" t="inlineStr">
        <is>
          <t>605376</t>
        </is>
      </c>
      <c r="E442" s="8" t="inlineStr">
        <is>
          <t>OMIM:605376</t>
        </is>
      </c>
      <c r="F442" s="8" t="inlineStr">
        <is>
          <t>OMIM phenotype entry</t>
        </is>
      </c>
      <c r="G442" s="8" t="inlineStr">
        <is>
          <t>Secondary</t>
        </is>
      </c>
      <c r="H442" s="8" t="inlineStr">
        <is>
          <t>Motile cilia / laterality</t>
        </is>
      </c>
      <c r="I442" s="8" t="inlineStr">
        <is>
          <t>CFC1</t>
        </is>
      </c>
      <c r="J442" s="8" t="inlineStr">
        <is>
          <t>INCOMPLETE_PENETRANCE; AD</t>
        </is>
      </c>
      <c r="K442" s="8" t="inlineStr">
        <is>
          <t>Abdomen; Cardiovascular; Growth; Immune system; Head and neck; Nervous system; Skeletal</t>
        </is>
      </c>
      <c r="L442" s="8" t="n">
        <v>14</v>
      </c>
      <c r="M442" s="8" t="inlineStr">
        <is>
          <t>HP:0000252; HP:0001696; HP:0001651; HP:0003363; HP:0001274; HP:0011599; HP:0033379; HP:0011537; HP:0001719; HP:0001669; HP:0001746; HP:0006695; HP:0001748; HP:0002566</t>
        </is>
      </c>
      <c r="N442" s="8" t="inlineStr">
        <is>
          <t>Yes</t>
        </is>
      </c>
      <c r="O442" s="8" t="n"/>
      <c r="P442" s="8" t="n"/>
    </row>
    <row r="443">
      <c r="A443" s="8" t="inlineStr">
        <is>
          <t>CILP_0442</t>
        </is>
      </c>
      <c r="B443" s="8" t="inlineStr">
        <is>
          <t>Visceral Heterotaxy</t>
        </is>
      </c>
      <c r="C443" s="8" t="inlineStr">
        <is>
          <t>HTX3</t>
        </is>
      </c>
      <c r="D443" s="8" t="inlineStr">
        <is>
          <t>606325</t>
        </is>
      </c>
      <c r="E443" s="8" t="inlineStr">
        <is>
          <t>OMIM:270100; OMIM:306955; OMIM:605376; OMIM:613751; OMIM:614779; OMIM:616749; OMIM:617205; OMIM:618948; OMIM:619607; OMIM:619608</t>
        </is>
      </c>
      <c r="F443" s="8" t="inlineStr">
        <is>
          <t>Family-level record (combined OMIM entries)</t>
        </is>
      </c>
      <c r="G443" s="8" t="inlineStr">
        <is>
          <t>Secondary</t>
        </is>
      </c>
      <c r="H443" s="8" t="inlineStr">
        <is>
          <t>Motile cilia / laterality</t>
        </is>
      </c>
      <c r="I443" s="8" t="inlineStr">
        <is>
          <t>SESN1</t>
        </is>
      </c>
      <c r="J443" s="8" t="inlineStr">
        <is>
          <t>AD; XLR; INCOMPLETE_PENETRANCE; AR</t>
        </is>
      </c>
      <c r="K443" s="8" t="inlineStr">
        <is>
          <t>Abdomen; Eyes; Ears; Cardiovascular; Growth; Genitourinary; Immune system; Head and neck; Limbs; Nervous system; Respiratory; Skeletal; Skin</t>
        </is>
      </c>
      <c r="L443" s="8" t="n">
        <v>97</v>
      </c>
      <c r="M443" s="8" t="inlineStr">
        <is>
          <t>HP:0001750; HP:0001651; HP:0000089; HP:0001272; HP:0011699; HP:0011555; HP:0031565; HP:0010305; HP:0031348; HP:0011536; HP:0001629; HP:0001746; HP:0006695; HP:0004935; HP:0001643; HP:0002059; HP:0001321; HP:0003363; HP:0000073; HP:0004970; HP:0001680; HP:0000071; HP:0010773; HP:0005160; HP:0011861; HP:0001719; HP:0001511; HP:0001631; HP:0002247; HP:0002566; HP:0001374; HP:0002023; HP:0000085; HP:0012304; HP:0000316; HP:0001800; HP:0000238; HP:0003305; HP:0001642; HP:0002475; HP:0011565; HP:0033379; HP:0001539; HP:0000961; HP:0000369; HP:0001655; HP:0001776; HP:0001674; HP:0002240; HP:0004383; HP:0001508; HP:0012890; HP:0011560; HP:0001669; HP:0001748; HP:0003026; HP:0002410; HP:0001682; HP:0001561; HP:0001640; HP:0002098; HP:0001718; HP:0011670; HP:0005912; HP:0000105; HP:0000104; HP:0000252; HP:0001696; HP:0001274; HP:0011599; HP:0011537; HP:0010452; HP:0034188; HP:0012020; HP:0011671; HP:0011579; HP:0001671; HP:0030853; HP:0004762; HP:0004971; HP:0011611; HP:0001702; HP:0001646; HP:0031834; HP:0011539; HP:0011538; HP:0011540; HP:0003251; HP:0000403; HP:0033036; HP:0012735; HP:0011109; HP:0010445; HP:0011577; HP:0031590; HP:0034011; HP:0000389</t>
        </is>
      </c>
      <c r="N443" s="8" t="inlineStr">
        <is>
          <t>Yes</t>
        </is>
      </c>
      <c r="O443" s="8" t="n"/>
      <c r="P443" s="8" t="n"/>
    </row>
    <row r="444">
      <c r="A444" s="8" t="inlineStr">
        <is>
          <t>CILP_0443</t>
        </is>
      </c>
      <c r="B444" s="8" t="inlineStr">
        <is>
          <t>Visceral Heterotaxy</t>
        </is>
      </c>
      <c r="C444" s="8" t="inlineStr">
        <is>
          <t>HTX4</t>
        </is>
      </c>
      <c r="D444" s="8" t="inlineStr">
        <is>
          <t>613751</t>
        </is>
      </c>
      <c r="E444" s="8" t="inlineStr">
        <is>
          <t>OMIM:613751</t>
        </is>
      </c>
      <c r="F444" s="8" t="inlineStr">
        <is>
          <t>OMIM phenotype entry</t>
        </is>
      </c>
      <c r="G444" s="8" t="inlineStr">
        <is>
          <t>Secondary</t>
        </is>
      </c>
      <c r="H444" s="8" t="inlineStr">
        <is>
          <t>Motile cilia / laterality</t>
        </is>
      </c>
      <c r="I444" s="8" t="inlineStr">
        <is>
          <t>ACVR2B</t>
        </is>
      </c>
      <c r="J444" s="8" t="inlineStr">
        <is>
          <t>AD</t>
        </is>
      </c>
      <c r="K444" s="8" t="inlineStr">
        <is>
          <t>Abdomen; Cardiovascular; Immune system; Respiratory</t>
        </is>
      </c>
      <c r="L444" s="8" t="n">
        <v>15</v>
      </c>
      <c r="M444" s="8" t="inlineStr">
        <is>
          <t>HP:0001674; HP:0001651; HP:0011565; HP:0033379; HP:0005160; HP:0031348; HP:0010452; HP:0001629; HP:0034188; HP:0012020; HP:0011671; HP:0001669; HP:0006695; HP:0001748; HP:0004935</t>
        </is>
      </c>
      <c r="N444" s="8" t="inlineStr">
        <is>
          <t>Yes</t>
        </is>
      </c>
      <c r="O444" s="8" t="n"/>
      <c r="P444" s="8" t="n"/>
    </row>
    <row r="445">
      <c r="A445" s="8" t="inlineStr">
        <is>
          <t>CILP_0444</t>
        </is>
      </c>
      <c r="B445" s="8" t="inlineStr">
        <is>
          <t>Visceral Heterotaxy</t>
        </is>
      </c>
      <c r="C445" s="8" t="inlineStr">
        <is>
          <t>HTX6</t>
        </is>
      </c>
      <c r="D445" s="8" t="inlineStr">
        <is>
          <t>614779</t>
        </is>
      </c>
      <c r="E445" s="8" t="inlineStr">
        <is>
          <t>OMIM:614779</t>
        </is>
      </c>
      <c r="F445" s="8" t="inlineStr">
        <is>
          <t>OMIM phenotype entry</t>
        </is>
      </c>
      <c r="G445" s="8" t="inlineStr">
        <is>
          <t>Secondary</t>
        </is>
      </c>
      <c r="H445" s="8" t="inlineStr">
        <is>
          <t>Motile cilia / laterality</t>
        </is>
      </c>
      <c r="I445" s="8" t="inlineStr">
        <is>
          <t>CFAP53</t>
        </is>
      </c>
      <c r="J445" s="8" t="inlineStr">
        <is>
          <t>AR</t>
        </is>
      </c>
      <c r="K445" s="8" t="inlineStr">
        <is>
          <t>Abdomen; Cardiovascular; Growth; Respiratory</t>
        </is>
      </c>
      <c r="L445" s="8" t="n">
        <v>10</v>
      </c>
      <c r="M445" s="8" t="inlineStr">
        <is>
          <t>HP:0001696; HP:0001651; HP:0003363; HP:0001719; HP:0012020; HP:0001669; HP:0004383; HP:0011565; HP:0005160; HP:0011579</t>
        </is>
      </c>
      <c r="N445" s="8" t="inlineStr">
        <is>
          <t>Yes</t>
        </is>
      </c>
      <c r="O445" s="8" t="n"/>
      <c r="P445" s="8" t="n"/>
    </row>
    <row r="446">
      <c r="A446" s="8" t="inlineStr">
        <is>
          <t>CILP_0445</t>
        </is>
      </c>
      <c r="B446" s="8" t="inlineStr">
        <is>
          <t>Visceral Heterotaxy</t>
        </is>
      </c>
      <c r="C446" s="8" t="inlineStr">
        <is>
          <t>HTX7</t>
        </is>
      </c>
      <c r="D446" s="8" t="inlineStr">
        <is>
          <t>616749</t>
        </is>
      </c>
      <c r="E446" s="8" t="inlineStr">
        <is>
          <t>OMIM:616749</t>
        </is>
      </c>
      <c r="F446" s="8" t="inlineStr">
        <is>
          <t>OMIM phenotype entry</t>
        </is>
      </c>
      <c r="G446" s="8" t="inlineStr">
        <is>
          <t>Secondary</t>
        </is>
      </c>
      <c r="H446" s="8" t="inlineStr">
        <is>
          <t>Motile cilia / laterality</t>
        </is>
      </c>
      <c r="I446" s="8" t="inlineStr">
        <is>
          <t>MMP21</t>
        </is>
      </c>
      <c r="J446" s="8" t="inlineStr">
        <is>
          <t>AR</t>
        </is>
      </c>
      <c r="K446" s="8" t="inlineStr">
        <is>
          <t>Abdomen; Cardiovascular; Growth; Immune system; Respiratory; Skin</t>
        </is>
      </c>
      <c r="L446" s="8" t="n">
        <v>21</v>
      </c>
      <c r="M446" s="8" t="inlineStr">
        <is>
          <t>HP:0001671; HP:0030853; HP:0001696; HP:0004762; HP:0001651; HP:0004971; HP:0011611; HP:0011565; HP:0005160; HP:0012020; HP:0011671; HP:0011560; HP:0001702; HP:0001669; HP:0001646; HP:0006695; HP:0001748; HP:0004935; HP:0000961; HP:0001631; HP:0002566</t>
        </is>
      </c>
      <c r="N446" s="8" t="inlineStr">
        <is>
          <t>Yes</t>
        </is>
      </c>
      <c r="O446" s="8" t="n"/>
      <c r="P446" s="8" t="n"/>
    </row>
    <row r="447">
      <c r="A447" s="8" t="inlineStr">
        <is>
          <t>CILP_0446</t>
        </is>
      </c>
      <c r="B447" s="8" t="inlineStr">
        <is>
          <t>Visceral Heterotaxy</t>
        </is>
      </c>
      <c r="C447" s="8" t="inlineStr">
        <is>
          <t>HTX8</t>
        </is>
      </c>
      <c r="D447" s="8" t="inlineStr">
        <is>
          <t>617205</t>
        </is>
      </c>
      <c r="E447" s="8" t="inlineStr">
        <is>
          <t>OMIM:617205</t>
        </is>
      </c>
      <c r="F447" s="8" t="inlineStr">
        <is>
          <t>OMIM phenotype entry</t>
        </is>
      </c>
      <c r="G447" s="8" t="inlineStr">
        <is>
          <t>Secondary</t>
        </is>
      </c>
      <c r="H447" s="8" t="inlineStr">
        <is>
          <t>Motile cilia / laterality</t>
        </is>
      </c>
      <c r="I447" s="8" t="inlineStr">
        <is>
          <t>PKD1L1</t>
        </is>
      </c>
      <c r="J447" s="8" t="inlineStr">
        <is>
          <t>AR</t>
        </is>
      </c>
      <c r="K447" s="8" t="inlineStr">
        <is>
          <t>Abdomen; Cardiovascular; Growth; Respiratory</t>
        </is>
      </c>
      <c r="L447" s="8" t="n">
        <v>12</v>
      </c>
      <c r="M447" s="8" t="inlineStr">
        <is>
          <t>HP:0031834; HP:0011539; HP:0001651; HP:0003363; HP:0004383; HP:0011538; HP:0011579; HP:0001629; HP:0011540; HP:0001719; HP:0012020; HP:0004935</t>
        </is>
      </c>
      <c r="N447" s="8" t="inlineStr">
        <is>
          <t>Yes</t>
        </is>
      </c>
      <c r="O447" s="8" t="n"/>
      <c r="P447" s="8" t="n"/>
    </row>
    <row r="448">
      <c r="A448" s="8" t="inlineStr">
        <is>
          <t>CILP_0447</t>
        </is>
      </c>
      <c r="B448" s="8" t="inlineStr">
        <is>
          <t>Visceral Heterotaxy</t>
        </is>
      </c>
      <c r="C448" s="8" t="inlineStr">
        <is>
          <t>HTX9</t>
        </is>
      </c>
      <c r="D448" s="8" t="inlineStr">
        <is>
          <t>618948</t>
        </is>
      </c>
      <c r="E448" s="8" t="inlineStr">
        <is>
          <t>OMIM:618948</t>
        </is>
      </c>
      <c r="F448" s="8" t="inlineStr">
        <is>
          <t>OMIM phenotype entry</t>
        </is>
      </c>
      <c r="G448" s="8" t="inlineStr">
        <is>
          <t>Secondary</t>
        </is>
      </c>
      <c r="H448" s="8" t="inlineStr">
        <is>
          <t>Motile cilia / laterality</t>
        </is>
      </c>
      <c r="I448" s="8" t="inlineStr">
        <is>
          <t>MNS1</t>
        </is>
      </c>
      <c r="J448" s="8" t="inlineStr">
        <is>
          <t>AR</t>
        </is>
      </c>
      <c r="K448" s="8" t="inlineStr">
        <is>
          <t>Abdomen; Ears; Cardiovascular; Genitourinary; Immune system</t>
        </is>
      </c>
      <c r="L448" s="8" t="n">
        <v>5</v>
      </c>
      <c r="M448" s="8" t="inlineStr">
        <is>
          <t>HP:0001696; HP:0001651; HP:0003251; HP:0001746; HP:0000403</t>
        </is>
      </c>
      <c r="N448" s="8" t="inlineStr">
        <is>
          <t>Yes</t>
        </is>
      </c>
      <c r="O448" s="8" t="n"/>
      <c r="P448" s="8" t="n"/>
    </row>
    <row r="449">
      <c r="A449" s="8" t="inlineStr">
        <is>
          <t>CILP_0448</t>
        </is>
      </c>
      <c r="B449" s="8" t="inlineStr">
        <is>
          <t>Visceral Heterotaxy</t>
        </is>
      </c>
      <c r="C449" s="8" t="inlineStr">
        <is>
          <t>HTX10</t>
        </is>
      </c>
      <c r="D449" s="8" t="inlineStr">
        <is>
          <t>619607</t>
        </is>
      </c>
      <c r="E449" s="8" t="inlineStr">
        <is>
          <t>OMIM:619607</t>
        </is>
      </c>
      <c r="F449" s="8" t="inlineStr">
        <is>
          <t>OMIM phenotype entry</t>
        </is>
      </c>
      <c r="G449" s="8" t="inlineStr">
        <is>
          <t>Secondary</t>
        </is>
      </c>
      <c r="H449" s="8" t="inlineStr">
        <is>
          <t>Motile cilia / laterality</t>
        </is>
      </c>
      <c r="I449" s="8" t="inlineStr">
        <is>
          <t>CFAP52</t>
        </is>
      </c>
      <c r="J449" s="8" t="inlineStr">
        <is>
          <t>AR</t>
        </is>
      </c>
      <c r="K449" s="8" t="inlineStr">
        <is>
          <t>Abdomen; Ears; Cardiovascular; Growth; Genitourinary; Immune system; Head and neck; Respiratory; Skeletal</t>
        </is>
      </c>
      <c r="L449" s="8" t="n">
        <v>8</v>
      </c>
      <c r="M449" s="8" t="inlineStr">
        <is>
          <t>HP:0001696; HP:0001651; HP:0003363; HP:0003251; HP:0033036; HP:0000403; HP:0012735; HP:0011109</t>
        </is>
      </c>
      <c r="N449" s="8" t="inlineStr">
        <is>
          <t>Yes</t>
        </is>
      </c>
      <c r="O449" s="8" t="n"/>
      <c r="P449" s="8" t="n"/>
    </row>
    <row r="450">
      <c r="A450" s="8" t="inlineStr">
        <is>
          <t>CILP_0449</t>
        </is>
      </c>
      <c r="B450" s="8" t="inlineStr">
        <is>
          <t>Visceral Heterotaxy</t>
        </is>
      </c>
      <c r="C450" s="8" t="inlineStr">
        <is>
          <t>HTX11</t>
        </is>
      </c>
      <c r="D450" s="8" t="inlineStr">
        <is>
          <t>619608</t>
        </is>
      </c>
      <c r="E450" s="8" t="inlineStr">
        <is>
          <t>OMIM:619608</t>
        </is>
      </c>
      <c r="F450" s="8" t="inlineStr">
        <is>
          <t>OMIM phenotype entry</t>
        </is>
      </c>
      <c r="G450" s="8" t="inlineStr">
        <is>
          <t>Secondary</t>
        </is>
      </c>
      <c r="H450" s="8" t="inlineStr">
        <is>
          <t>Motile cilia / laterality</t>
        </is>
      </c>
      <c r="I450" s="8" t="inlineStr">
        <is>
          <t>CFAP45</t>
        </is>
      </c>
      <c r="J450" s="8" t="inlineStr">
        <is>
          <t>AR</t>
        </is>
      </c>
      <c r="K450" s="8" t="inlineStr">
        <is>
          <t>Abdomen; Eyes; Ears; Cardiovascular; Genitourinary; Immune system; Head and neck; Respiratory; Skeletal</t>
        </is>
      </c>
      <c r="L450" s="8" t="n">
        <v>11</v>
      </c>
      <c r="M450" s="8" t="inlineStr">
        <is>
          <t>HP:0001696; HP:0033036; HP:0010445; HP:0011577; HP:0011109; HP:0031590; HP:0034011; HP:0001748; HP:0000389; HP:0002247; HP:0002566</t>
        </is>
      </c>
      <c r="N450" s="8" t="inlineStr">
        <is>
          <t>Yes</t>
        </is>
      </c>
      <c r="O450" s="8" t="n"/>
      <c r="P450" s="8" t="n"/>
    </row>
    <row r="451">
      <c r="A451" s="8" t="inlineStr">
        <is>
          <t>CILP_0450</t>
        </is>
      </c>
      <c r="B451" s="8" t="inlineStr">
        <is>
          <t>Visceral Heterotaxy</t>
        </is>
      </c>
      <c r="C451" s="8" t="inlineStr">
        <is>
          <t>HTX</t>
        </is>
      </c>
      <c r="D451" s="8" t="n"/>
      <c r="E451" s="8" t="inlineStr">
        <is>
          <t>OMIM:270100; OMIM:306955; OMIM:605376; OMIM:613751; OMIM:614779; OMIM:616749; OMIM:617205; OMIM:618948; OMIM:619607; OMIM:619608</t>
        </is>
      </c>
      <c r="F451" s="8" t="inlineStr">
        <is>
          <t>Family-level record (combined OMIM entries)</t>
        </is>
      </c>
      <c r="G451" s="8" t="inlineStr">
        <is>
          <t>Secondary</t>
        </is>
      </c>
      <c r="H451" s="8" t="inlineStr">
        <is>
          <t>Motile cilia / laterality</t>
        </is>
      </c>
      <c r="I451" s="8" t="inlineStr">
        <is>
          <t>CC2D1A; TTC21B</t>
        </is>
      </c>
      <c r="J451" s="8" t="inlineStr">
        <is>
          <t>AD; XLR; INCOMPLETE_PENETRANCE; AR</t>
        </is>
      </c>
      <c r="K451" s="8" t="inlineStr">
        <is>
          <t>Abdomen; Eyes; Ears; Cardiovascular; Growth; Genitourinary; Immune system; Head and neck; Limbs; Nervous system; Respiratory; Skeletal; Skin</t>
        </is>
      </c>
      <c r="L451" s="8" t="n">
        <v>97</v>
      </c>
      <c r="M451" s="8" t="inlineStr">
        <is>
          <t>HP:0001750; HP:0001651; HP:0000089; HP:0001272; HP:0011699; HP:0011555; HP:0031565; HP:0010305; HP:0031348; HP:0011536; HP:0001629; HP:0001746; HP:0006695; HP:0004935; HP:0001643; HP:0002059; HP:0001321; HP:0003363; HP:0000073; HP:0004970; HP:0001680; HP:0000071; HP:0010773; HP:0005160; HP:0011861; HP:0001719; HP:0001511; HP:0001631; HP:0002247; HP:0002566; HP:0001374; HP:0002023; HP:0000085; HP:0012304; HP:0000316; HP:0001800; HP:0000238; HP:0003305; HP:0001642; HP:0002475; HP:0011565; HP:0033379; HP:0001539; HP:0000961; HP:0000369; HP:0001655; HP:0001776; HP:0001674; HP:0002240; HP:0004383; HP:0001508; HP:0012890; HP:0011560; HP:0001669; HP:0001748; HP:0003026; HP:0002410; HP:0001682; HP:0001561; HP:0001640; HP:0002098; HP:0001718; HP:0011670; HP:0005912; HP:0000105; HP:0000104; HP:0000252; HP:0001696; HP:0001274; HP:0011599; HP:0011537; HP:0010452; HP:0034188; HP:0012020; HP:0011671; HP:0011579; HP:0001671; HP:0030853; HP:0004762; HP:0004971; HP:0011611; HP:0001702; HP:0001646; HP:0031834; HP:0011539; HP:0011538; HP:0011540; HP:0003251; HP:0000403; HP:0033036; HP:0012735; HP:0011109; HP:0010445; HP:0011577; HP:0031590; HP:0034011; HP:0000389</t>
        </is>
      </c>
      <c r="N451" s="8" t="inlineStr">
        <is>
          <t>No</t>
        </is>
      </c>
      <c r="O451" s="8" t="inlineStr">
        <is>
          <t>Exact duplicate of CILP_0442 (identical features, same family)</t>
        </is>
      </c>
      <c r="P451" s="8" t="n"/>
    </row>
    <row r="452">
      <c r="A452" s="8" t="inlineStr">
        <is>
          <t>CILP_0451</t>
        </is>
      </c>
      <c r="B452" s="8" t="inlineStr">
        <is>
          <t>Weyers Acrofacial Dysostosis</t>
        </is>
      </c>
      <c r="C452" s="8" t="inlineStr">
        <is>
          <t>WAD</t>
        </is>
      </c>
      <c r="D452" s="8" t="inlineStr">
        <is>
          <t>193530</t>
        </is>
      </c>
      <c r="E452" s="8" t="inlineStr">
        <is>
          <t>OMIM:193530</t>
        </is>
      </c>
      <c r="F452" s="8" t="inlineStr">
        <is>
          <t>OMIM phenotype entry</t>
        </is>
      </c>
      <c r="G452" s="8" t="inlineStr">
        <is>
          <t>Primary</t>
        </is>
      </c>
      <c r="H452" s="8" t="inlineStr">
        <is>
          <t>Skeletal ciliopathy</t>
        </is>
      </c>
      <c r="I452" s="8" t="inlineStr">
        <is>
          <t>EVC; EVC2</t>
        </is>
      </c>
      <c r="J452" s="8" t="inlineStr">
        <is>
          <t>AD</t>
        </is>
      </c>
      <c r="K452" s="8" t="inlineStr">
        <is>
          <t>Eyes; Ears; Growth; Head and neck; Limbs; Skeletal; Skin</t>
        </is>
      </c>
      <c r="L452" s="8" t="n">
        <v>12</v>
      </c>
      <c r="M452" s="8" t="inlineStr">
        <is>
          <t>HP:0000395; HP:0001792; HP:0004279; HP:0001156; HP:0001162; HP:0002164; HP:0000601; HP:0004209; HP:0001830; HP:0006315; HP:0000698; HP:0003502</t>
        </is>
      </c>
      <c r="N452" s="8" t="inlineStr">
        <is>
          <t>No</t>
        </is>
      </c>
      <c r="O452" s="8" t="inlineStr">
        <is>
          <t>Disease family with fewer than 5 entries</t>
        </is>
      </c>
      <c r="P452" s="8" t="n"/>
    </row>
  </sheetData>
  <autoFilter ref="A1:P4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2026-10-03T17:28:19Z</dcterms:created>
  <dcterms:modified xmlns:dcterms="http://purl.org/dc/terms/" xmlns:xsi="http://www.w3.org/2001/XMLSchema-instance" xsi:type="dcterms:W3CDTF">2026-10-03T17:28:19Z</dcterms:modified>
</cp:coreProperties>
</file>